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lee_space\code\BotLSP\"/>
    </mc:Choice>
  </mc:AlternateContent>
  <bookViews>
    <workbookView windowWidth="27945" windowHeight="12255" tabRatio="500"/>
  </bookViews>
  <sheets>
    <sheet name="选型原则" sheetId="1" r:id="rId1"/>
    <sheet name="指标清单" sheetId="2" r:id="rId2"/>
    <sheet name="已排除指标" sheetId="3" r:id="rId3"/>
    <sheet name="展示设计" sheetId="4" r:id="rId4"/>
    <sheet name="规则与门禁" sheetId="5" r:id="rId5"/>
    <sheet name="实测数据" sheetId="6" r:id="rId6"/>
    <sheet name="术语说明" sheetId="7" r:id="rId7"/>
  </sheets>
  <definedNames>
    <definedName name="_xlnm._FilterDatabase" localSheetId="1" hidden="1">指标清单!$A$1:$X$54</definedName>
    <definedName name="_xlnm._FilterDatabase" localSheetId="5" hidden="1">实测数据!$A$1:$G$54</definedName>
    <definedName name="_xlnm.Print_Titles" localSheetId="5">实测数据!$1:$1</definedName>
    <definedName name="_xlnm.Print_Titles" localSheetId="3">展示设计!$4:$4</definedName>
    <definedName name="_xlnm.Print_Titles" localSheetId="1">指标清单!$1:$1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<sst xmlns="http://schemas.openxmlformats.org/spreadsheetml/2006/main" count="2199" uniqueCount="714">
  <si>
    <r>
      <rPr>
        <b/>
        <sz val="14"/>
        <color rgb="FF1F2933"/>
        <rFont val="微软雅黑"/>
        <charset val="1"/>
      </rPr>
      <t xml:space="preserve">bot-metric </t>
    </r>
    <r>
      <rPr>
        <b/>
        <sz val="14"/>
        <color rgb="FF1F2933"/>
        <rFont val="Noto Sans CJK SC"/>
        <charset val="134"/>
      </rPr>
      <t>指标选型：结果与依据</t>
    </r>
  </si>
  <si>
    <r>
      <rPr>
        <b/>
        <sz val="10"/>
        <color rgb="FF1F2933"/>
        <rFont val="Noto Sans CJK SC"/>
        <charset val="134"/>
      </rPr>
      <t>结论：</t>
    </r>
    <r>
      <rPr>
        <b/>
        <sz val="10"/>
        <color rgb="FF1F2933"/>
        <rFont val="微软雅黑"/>
        <charset val="1"/>
      </rPr>
      <t xml:space="preserve">bot-metric </t>
    </r>
    <r>
      <rPr>
        <b/>
        <sz val="10"/>
        <color rgb="FF1F2933"/>
        <rFont val="Noto Sans CJK SC"/>
        <charset val="134"/>
      </rPr>
      <t xml:space="preserve">一共输出 </t>
    </r>
    <r>
      <rPr>
        <b/>
        <sz val="10"/>
        <color rgb="FF1F2933"/>
        <rFont val="微软雅黑"/>
        <charset val="1"/>
      </rPr>
      <t xml:space="preserve">65 </t>
    </r>
    <r>
      <rPr>
        <b/>
        <sz val="10"/>
        <color rgb="FF1F2933"/>
        <rFont val="Noto Sans CJK SC"/>
        <charset val="134"/>
      </rPr>
      <t xml:space="preserve">项指标。其中 </t>
    </r>
    <r>
      <rPr>
        <b/>
        <sz val="10"/>
        <color rgb="FF1F2933"/>
        <rFont val="微软雅黑"/>
        <charset val="1"/>
      </rPr>
      <t xml:space="preserve">12 </t>
    </r>
    <r>
      <rPr>
        <b/>
        <sz val="10"/>
        <color rgb="FF1F2933"/>
        <rFont val="Noto Sans CJK SC"/>
        <charset val="134"/>
      </rPr>
      <t xml:space="preserve">项工具没有给出计算方式，不参与评估；其余 </t>
    </r>
    <r>
      <rPr>
        <b/>
        <sz val="10"/>
        <color rgb="FF1F2933"/>
        <rFont val="微软雅黑"/>
        <charset val="1"/>
      </rPr>
      <t xml:space="preserve">53 </t>
    </r>
    <r>
      <rPr>
        <b/>
        <sz val="10"/>
        <color rgb="FF1F2933"/>
        <rFont val="Noto Sans CJK SC"/>
        <charset val="134"/>
      </rPr>
      <t xml:space="preserve">项里选入 </t>
    </r>
    <r>
      <rPr>
        <b/>
        <sz val="10"/>
        <color rgb="FF1F2933"/>
        <rFont val="微软雅黑"/>
        <charset val="1"/>
      </rPr>
      <t xml:space="preserve">15 </t>
    </r>
    <r>
      <rPr>
        <b/>
        <sz val="10"/>
        <color rgb="FF1F2933"/>
        <rFont val="Noto Sans CJK SC"/>
        <charset val="134"/>
      </rPr>
      <t xml:space="preserve">项，不选入 </t>
    </r>
    <r>
      <rPr>
        <b/>
        <sz val="10"/>
        <color rgb="FF1F2933"/>
        <rFont val="微软雅黑"/>
        <charset val="1"/>
      </rPr>
      <t xml:space="preserve">38 </t>
    </r>
    <r>
      <rPr>
        <b/>
        <sz val="10"/>
        <color rgb="FF1F2933"/>
        <rFont val="Noto Sans CJK SC"/>
        <charset val="134"/>
      </rPr>
      <t xml:space="preserve">项。选入的 </t>
    </r>
    <r>
      <rPr>
        <b/>
        <sz val="10"/>
        <color rgb="FF1F2933"/>
        <rFont val="微软雅黑"/>
        <charset val="1"/>
      </rPr>
      <t xml:space="preserve">15 </t>
    </r>
    <r>
      <rPr>
        <b/>
        <sz val="10"/>
        <color rgb="FF1F2933"/>
        <rFont val="Noto Sans CJK SC"/>
        <charset val="134"/>
      </rPr>
      <t xml:space="preserve">项各回答一个明确的问题（第一节）；不选入的 </t>
    </r>
    <r>
      <rPr>
        <b/>
        <sz val="10"/>
        <color rgb="FF1F2933"/>
        <rFont val="微软雅黑"/>
        <charset val="1"/>
      </rPr>
      <t xml:space="preserve">38 </t>
    </r>
    <r>
      <rPr>
        <b/>
        <sz val="10"/>
        <color rgb="FF1F2933"/>
        <rFont val="Noto Sans CJK SC"/>
        <charset val="134"/>
      </rPr>
      <t xml:space="preserve">项分成 </t>
    </r>
    <r>
      <rPr>
        <b/>
        <sz val="10"/>
        <color rgb="FF1F2933"/>
        <rFont val="微软雅黑"/>
        <charset val="1"/>
      </rPr>
      <t xml:space="preserve">6 </t>
    </r>
    <r>
      <rPr>
        <b/>
        <sz val="10"/>
        <color rgb="FF1F2933"/>
        <rFont val="Noto Sans CJK SC"/>
        <charset val="134"/>
      </rPr>
      <t>组，每组只有一个主因（第三节）。想查某一项具体为什么，到「指标清单」页按名称筛选。</t>
    </r>
  </si>
  <si>
    <t>阅读顺序：第一节看选了什么，第二节看怎么选，第三节看没选的为什么，第四节核对数量。术语见最后一页「术语说明」。</t>
  </si>
  <si>
    <r>
      <rPr>
        <b/>
        <sz val="11"/>
        <color rgb="FF1F4E79"/>
        <rFont val="Noto Sans CJK SC"/>
        <charset val="134"/>
      </rPr>
      <t xml:space="preserve">一、选入的 </t>
    </r>
    <r>
      <rPr>
        <b/>
        <sz val="11"/>
        <color rgb="FF1F4E79"/>
        <rFont val="微软雅黑"/>
        <charset val="1"/>
      </rPr>
      <t xml:space="preserve">15 </t>
    </r>
    <r>
      <rPr>
        <b/>
        <sz val="11"/>
        <color rgb="FF1F4E79"/>
        <rFont val="Noto Sans CJK SC"/>
        <charset val="134"/>
      </rPr>
      <t>项：每项回答什么问题</t>
    </r>
  </si>
  <si>
    <t>度量级别</t>
  </si>
  <si>
    <t>指标</t>
  </si>
  <si>
    <t>它回答的问题</t>
  </si>
  <si>
    <t>拟展示位置</t>
  </si>
  <si>
    <t>呈现方式</t>
  </si>
  <si>
    <t>主题</t>
  </si>
  <si>
    <t>函数级</t>
  </si>
  <si>
    <t>平均函数代码行</t>
  </si>
  <si>
    <t>函数平均有多长（有效代码行）</t>
  </si>
  <si>
    <t>文件状态栏、工作区面板</t>
  </si>
  <si>
    <t>目标呈现（带阈值与达标态）</t>
  </si>
  <si>
    <t>代码规模</t>
  </si>
  <si>
    <t>超大函数比例</t>
  </si>
  <si>
    <r>
      <rPr>
        <sz val="10"/>
        <color rgb="FF1F2933"/>
        <rFont val="Noto Sans CJK SC"/>
        <charset val="134"/>
      </rPr>
      <t xml:space="preserve">有多少函数超大（超过 </t>
    </r>
    <r>
      <rPr>
        <sz val="10"/>
        <color rgb="FF1F2933"/>
        <rFont val="微软雅黑"/>
        <charset val="1"/>
      </rPr>
      <t xml:space="preserve">50 </t>
    </r>
    <r>
      <rPr>
        <sz val="10"/>
        <color rgb="FF1F2933"/>
        <rFont val="Noto Sans CJK SC"/>
        <charset val="134"/>
      </rPr>
      <t>行）</t>
    </r>
  </si>
  <si>
    <t>诊断（带位置）</t>
  </si>
  <si>
    <t>平均圈复杂度</t>
  </si>
  <si>
    <t>函数平均有多复杂（圈复杂度）</t>
  </si>
  <si>
    <t>复杂度</t>
  </si>
  <si>
    <t>超大圈复杂度比例</t>
  </si>
  <si>
    <r>
      <rPr>
        <sz val="10"/>
        <color rgb="FF1F2933"/>
        <rFont val="Noto Sans CJK SC"/>
        <charset val="134"/>
      </rPr>
      <t xml:space="preserve">有多少函数圈复杂度超过 </t>
    </r>
    <r>
      <rPr>
        <sz val="10"/>
        <color rgb="FF1F2933"/>
        <rFont val="微软雅黑"/>
        <charset val="1"/>
      </rPr>
      <t>20</t>
    </r>
  </si>
  <si>
    <r>
      <rPr>
        <b/>
        <sz val="10"/>
        <color rgb="FF1F2933"/>
        <rFont val="Noto Sans CJK SC"/>
        <charset val="134"/>
      </rPr>
      <t xml:space="preserve">平均 </t>
    </r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复杂度</t>
    </r>
  </si>
  <si>
    <r>
      <rPr>
        <sz val="10"/>
        <color rgb="FF1F2933"/>
        <rFont val="Noto Sans CJK SC"/>
        <charset val="134"/>
      </rPr>
      <t xml:space="preserve">按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算，函数平均有多复杂</t>
    </r>
  </si>
  <si>
    <t>文件状态栏、工作区面板（与圈复杂度并列）</t>
  </si>
  <si>
    <t>参考值（不设阈值、不标红）</t>
  </si>
  <si>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超限比例</t>
    </r>
  </si>
  <si>
    <r>
      <rPr>
        <sz val="10"/>
        <color rgb="FF1F2933"/>
        <rFont val="Noto Sans CJK SC"/>
        <charset val="134"/>
      </rPr>
      <t xml:space="preserve">有多少函数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复杂度超过 </t>
    </r>
    <r>
      <rPr>
        <sz val="10"/>
        <color rgb="FF1F2933"/>
        <rFont val="微软雅黑"/>
        <charset val="1"/>
      </rPr>
      <t>20</t>
    </r>
  </si>
  <si>
    <t>文件状态栏、工作区面板（与圈复杂度超限比例并列）</t>
  </si>
  <si>
    <t>函数级总体规则遵从度</t>
  </si>
  <si>
    <t>有多少函数没有触发任何规则</t>
  </si>
  <si>
    <t>文件状态栏（底栏与悬停画像）</t>
  </si>
  <si>
    <t>规则达标率</t>
  </si>
  <si>
    <t>模块级</t>
  </si>
  <si>
    <t>平均文件代码行</t>
  </si>
  <si>
    <t>文件平均有多长（有效代码行）</t>
  </si>
  <si>
    <t>工作区面板、门禁栏</t>
  </si>
  <si>
    <t>超大文件比例</t>
  </si>
  <si>
    <r>
      <rPr>
        <sz val="10"/>
        <color rgb="FF1F2933"/>
        <rFont val="Noto Sans CJK SC"/>
        <charset val="134"/>
      </rPr>
      <t xml:space="preserve">有多少文件超大（超过 </t>
    </r>
    <r>
      <rPr>
        <sz val="10"/>
        <color rgb="FF1F2933"/>
        <rFont val="微软雅黑"/>
        <charset val="1"/>
      </rPr>
      <t xml:space="preserve">2000 </t>
    </r>
    <r>
      <rPr>
        <sz val="10"/>
        <color rgb="FF1F2933"/>
        <rFont val="Noto Sans CJK SC"/>
        <charset val="134"/>
      </rPr>
      <t>行）</t>
    </r>
  </si>
  <si>
    <t>工作区面板</t>
  </si>
  <si>
    <t>超大目录比例</t>
  </si>
  <si>
    <r>
      <rPr>
        <sz val="10"/>
        <color rgb="FF1F2933"/>
        <rFont val="Noto Sans CJK SC"/>
        <charset val="134"/>
      </rPr>
      <t xml:space="preserve">有多少目录的直接子项过多（超过 </t>
    </r>
    <r>
      <rPr>
        <sz val="10"/>
        <color rgb="FF1F2933"/>
        <rFont val="微软雅黑"/>
        <charset val="1"/>
      </rPr>
      <t>50</t>
    </r>
    <r>
      <rPr>
        <sz val="10"/>
        <color rgb="FF1F2933"/>
        <rFont val="Noto Sans CJK SC"/>
        <charset val="134"/>
      </rPr>
      <t>）</t>
    </r>
  </si>
  <si>
    <t>项目级</t>
  </si>
  <si>
    <t>代码规模（有效代码行）</t>
  </si>
  <si>
    <t>工程（或单个文件）有多少行有效代码</t>
  </si>
  <si>
    <t>文件状态栏（悬停提示）、工作区面板、门禁栏</t>
  </si>
  <si>
    <t>代码重复率</t>
  </si>
  <si>
    <t>有多大比例的代码是重复的</t>
  </si>
  <si>
    <r>
      <rPr>
        <sz val="10"/>
        <color rgb="FF1F2933"/>
        <rFont val="Noto Sans CJK SC"/>
        <charset val="134"/>
      </rPr>
      <t xml:space="preserve">诊断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>目标呈现</t>
    </r>
  </si>
  <si>
    <t>重复代码</t>
  </si>
  <si>
    <t>文件完全重复率</t>
  </si>
  <si>
    <t>有多少文件是别的文件的完整副本</t>
  </si>
  <si>
    <r>
      <rPr>
        <b/>
        <sz val="10"/>
        <color rgb="FF1F2933"/>
        <rFont val="微软雅黑"/>
        <charset val="1"/>
      </rPr>
      <t xml:space="preserve">unsafe </t>
    </r>
    <r>
      <rPr>
        <b/>
        <sz val="10"/>
        <color rgb="FF1F2933"/>
        <rFont val="Noto Sans CJK SC"/>
        <charset val="134"/>
      </rPr>
      <t>密度</t>
    </r>
  </si>
  <si>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代码占多大比例</t>
    </r>
  </si>
  <si>
    <t>文件状态栏、工作区面板、门禁栏</t>
  </si>
  <si>
    <t>安全</t>
  </si>
  <si>
    <t>注释代码密度</t>
  </si>
  <si>
    <t>每千行有效代码里有多少段被注释掉的代码</t>
  </si>
  <si>
    <t>代码整洁</t>
  </si>
  <si>
    <r>
      <rPr>
        <sz val="9"/>
        <color rgb="FF595959"/>
        <rFont val="Noto Sans CJK SC"/>
        <charset val="134"/>
      </rPr>
      <t xml:space="preserve">参考值 </t>
    </r>
    <r>
      <rPr>
        <sz val="9"/>
        <color rgb="FF595959"/>
        <rFont val="微软雅黑"/>
        <charset val="1"/>
      </rPr>
      <t xml:space="preserve">= </t>
    </r>
    <r>
      <rPr>
        <sz val="9"/>
        <color rgb="FF595959"/>
        <rFont val="Noto Sans CJK SC"/>
        <charset val="134"/>
      </rPr>
      <t>没有对应规则或质量目标，只显示数值，不设阈值、不标红。选入项里：</t>
    </r>
    <r>
      <rPr>
        <sz val="9"/>
        <color rgb="FF595959"/>
        <rFont val="微软雅黑"/>
        <charset val="1"/>
      </rPr>
      <t xml:space="preserve">7 </t>
    </r>
    <r>
      <rPr>
        <sz val="9"/>
        <color rgb="FF595959"/>
        <rFont val="Noto Sans CJK SC"/>
        <charset val="134"/>
      </rPr>
      <t>项对应规则、</t>
    </r>
    <r>
      <rPr>
        <sz val="9"/>
        <color rgb="FF595959"/>
        <rFont val="微软雅黑"/>
        <charset val="1"/>
      </rPr>
      <t xml:space="preserve">7 </t>
    </r>
    <r>
      <rPr>
        <sz val="9"/>
        <color rgb="FF595959"/>
        <rFont val="Noto Sans CJK SC"/>
        <charset val="134"/>
      </rPr>
      <t xml:space="preserve">项对应质量目标（其中 </t>
    </r>
    <r>
      <rPr>
        <sz val="9"/>
        <color rgb="FF595959"/>
        <rFont val="微软雅黑"/>
        <charset val="1"/>
      </rPr>
      <t xml:space="preserve">3 </t>
    </r>
    <r>
      <rPr>
        <sz val="9"/>
        <color rgb="FF595959"/>
        <rFont val="Noto Sans CJK SC"/>
        <charset val="134"/>
      </rPr>
      <t>项两者兼有）、</t>
    </r>
    <r>
      <rPr>
        <sz val="9"/>
        <color rgb="FF595959"/>
        <rFont val="微软雅黑"/>
        <charset val="1"/>
      </rPr>
      <t xml:space="preserve">4 </t>
    </r>
    <r>
      <rPr>
        <sz val="9"/>
        <color rgb="FF595959"/>
        <rFont val="Noto Sans CJK SC"/>
        <charset val="134"/>
      </rPr>
      <t>项只作参考值，计数见「规则与门禁」页。</t>
    </r>
  </si>
  <si>
    <t>二、怎么选</t>
  </si>
  <si>
    <t>插件有两个职责：一是提示可修复的问题（改），二是评估手上代码的质量水平（评）。只有指标自身的性质决定选不选（三条准入条件）；规则和质量目标只决定选中之后怎么展示，不决定选不选。没有一项是因为「工具没有为它写规则」而被排除的。</t>
  </si>
  <si>
    <t>准入条件</t>
  </si>
  <si>
    <t>名称</t>
  </si>
  <si>
    <t>什么意思</t>
  </si>
  <si>
    <t>本表里的例子</t>
  </si>
  <si>
    <t>A1</t>
  </si>
  <si>
    <t>有区分度</t>
  </si>
  <si>
    <t>不与已选项定义恒等、严格互补或一一对应。不带新信息的数，再有道理也不该占展示位。</t>
  </si>
  <si>
    <r>
      <rPr>
        <sz val="10"/>
        <color rgb="FF1F2933"/>
        <rFont val="Noto Sans CJK SC"/>
        <charset val="134"/>
      </rPr>
      <t xml:space="preserve">覆盖率类 </t>
    </r>
    <r>
      <rPr>
        <sz val="10"/>
        <color rgb="FF1F2933"/>
        <rFont val="微软雅黑"/>
        <charset val="1"/>
      </rPr>
      <t xml:space="preserve">18 </t>
    </r>
    <r>
      <rPr>
        <sz val="10"/>
        <color rgb="FF1F2933"/>
        <rFont val="Noto Sans CJK SC"/>
        <charset val="134"/>
      </rPr>
      <t xml:space="preserve">项：同一粒度内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项取值恒等（都是 </t>
    </r>
    <r>
      <rPr>
        <sz val="10"/>
        <color rgb="FF1F2933"/>
        <rFont val="微软雅黑"/>
        <charset val="1"/>
      </rPr>
      <t>110/110</t>
    </r>
    <r>
      <rPr>
        <sz val="10"/>
        <color rgb="FF1F2933"/>
        <rFont val="Noto Sans CJK SC"/>
        <charset val="134"/>
      </rPr>
      <t xml:space="preserve">），实际只有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个信息。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满足度与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超限比例之和恒为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。</t>
    </r>
  </si>
  <si>
    <t>A2</t>
  </si>
  <si>
    <t>方向可接受</t>
  </si>
  <si>
    <t>改善这个数的做法必须是开发者认同的更好；如果只能靠更糟的写法把它降下来，展示它反而有害。</t>
  </si>
  <si>
    <r>
      <rPr>
        <sz val="10"/>
        <color rgb="FF1F2933"/>
        <rFont val="Noto Sans CJK SC"/>
        <charset val="134"/>
      </rPr>
      <t xml:space="preserve">圈复杂度对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分支的宽分派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打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>分，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只打 </t>
    </r>
    <r>
      <rPr>
        <sz val="10"/>
        <color rgb="FF1F2933"/>
        <rFont val="微软雅黑"/>
        <charset val="1"/>
      </rPr>
      <t xml:space="preserve">2 </t>
    </r>
    <r>
      <rPr>
        <sz val="10"/>
        <color rgb="FF1F2933"/>
        <rFont val="Noto Sans CJK SC"/>
        <charset val="134"/>
      </rPr>
      <t xml:space="preserve">分。只盯圈复杂度，可能把清晰的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拆成嵌套 </t>
    </r>
    <r>
      <rPr>
        <sz val="10"/>
        <color rgb="FF1F2933"/>
        <rFont val="微软雅黑"/>
        <charset val="1"/>
      </rPr>
      <t>if</t>
    </r>
    <r>
      <rPr>
        <sz val="10"/>
        <color rgb="FF1F2933"/>
        <rFont val="Noto Sans CJK SC"/>
        <charset val="134"/>
      </rPr>
      <t xml:space="preserve">。所以圈复杂度保留（它被质量目标和规则使用），并列展示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校正。</t>
    </r>
  </si>
  <si>
    <t>A3</t>
  </si>
  <si>
    <t>尺度有效</t>
  </si>
  <si>
    <r>
      <rPr>
        <sz val="10"/>
        <color rgb="FF1F2933"/>
        <rFont val="Noto Sans CJK SC"/>
        <charset val="134"/>
      </rPr>
      <t xml:space="preserve">在它的展示范围内，分母不能退化成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或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，也不能因分子太小而失真。</t>
    </r>
  </si>
  <si>
    <r>
      <rPr>
        <sz val="10"/>
        <color rgb="FF1F2933"/>
        <rFont val="Noto Sans CJK SC"/>
        <charset val="134"/>
      </rPr>
      <t xml:space="preserve">项目级遵从度分母恒为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，只有 </t>
    </r>
    <r>
      <rPr>
        <sz val="10"/>
        <color rgb="FF1F2933"/>
        <rFont val="微软雅黑"/>
        <charset val="1"/>
      </rPr>
      <t xml:space="preserve">0 / 1 </t>
    </r>
    <r>
      <rPr>
        <sz val="10"/>
        <color rgb="FF1F2933"/>
        <rFont val="Noto Sans CJK SC"/>
        <charset val="134"/>
      </rPr>
      <t xml:space="preserve">两个值。静态告警密度：工作区 </t>
    </r>
    <r>
      <rPr>
        <sz val="10"/>
        <color rgb="FF1F2933"/>
        <rFont val="微软雅黑"/>
        <charset val="1"/>
      </rPr>
      <t xml:space="preserve">1.25 </t>
    </r>
    <r>
      <rPr>
        <sz val="10"/>
        <color rgb="FF1F2933"/>
        <rFont val="Noto Sans CJK SC"/>
        <charset val="134"/>
      </rPr>
      <t>条</t>
    </r>
    <r>
      <rPr>
        <sz val="10"/>
        <color rgb="FF1F2933"/>
        <rFont val="微软雅黑"/>
        <charset val="1"/>
      </rPr>
      <t>/</t>
    </r>
    <r>
      <rPr>
        <sz val="10"/>
        <color rgb="FF1F2933"/>
        <rFont val="Noto Sans CJK SC"/>
        <charset val="134"/>
      </rPr>
      <t xml:space="preserve">千行，按光标处取值升到 </t>
    </r>
    <r>
      <rPr>
        <sz val="10"/>
        <color rgb="FF1F2933"/>
        <rFont val="微软雅黑"/>
        <charset val="1"/>
      </rPr>
      <t>16.2</t>
    </r>
    <r>
      <rPr>
        <sz val="10"/>
        <color rgb="FF1F2933"/>
        <rFont val="Noto Sans CJK SC"/>
        <charset val="134"/>
      </rPr>
      <t>。</t>
    </r>
  </si>
  <si>
    <t>展示规则</t>
  </si>
  <si>
    <t>内容</t>
  </si>
  <si>
    <r>
      <rPr>
        <b/>
        <sz val="10"/>
        <color rgb="FF1F2933"/>
        <rFont val="Noto Sans CJK SC"/>
        <charset val="134"/>
      </rPr>
      <t xml:space="preserve">落点 </t>
    </r>
    <r>
      <rPr>
        <b/>
        <sz val="10"/>
        <color rgb="FF1F2933"/>
        <rFont val="微软雅黑"/>
        <charset val="1"/>
      </rPr>
      <t>B</t>
    </r>
  </si>
  <si>
    <t>放在哪里</t>
  </si>
  <si>
    <t>判定对象在编辑器里有对应物的，落在对应物上（函数、文件）；没有对应物的落在面板。项目级指标进面板，不等于不选入。</t>
  </si>
  <si>
    <r>
      <rPr>
        <b/>
        <sz val="10"/>
        <color rgb="FF1F2933"/>
        <rFont val="Noto Sans CJK SC"/>
        <charset val="134"/>
      </rPr>
      <t xml:space="preserve">呈现 </t>
    </r>
    <r>
      <rPr>
        <b/>
        <sz val="10"/>
        <color rgb="FF1F2933"/>
        <rFont val="微软雅黑"/>
        <charset val="1"/>
      </rPr>
      <t>C</t>
    </r>
  </si>
  <si>
    <t>怎么显示</t>
  </si>
  <si>
    <t>有对应规则：作诊断，带代码位置。有对应质量目标：作目标呈现，带阈值和达标状态。两者都没有：只作参考值，不设阈值、不标红。</t>
  </si>
  <si>
    <r>
      <rPr>
        <b/>
        <sz val="10"/>
        <color rgb="FF1F2933"/>
        <rFont val="Noto Sans CJK SC"/>
        <charset val="134"/>
      </rPr>
      <t xml:space="preserve">预算 </t>
    </r>
    <r>
      <rPr>
        <b/>
        <sz val="10"/>
        <color rgb="FF1F2933"/>
        <rFont val="微软雅黑"/>
        <charset val="1"/>
      </rPr>
      <t>D</t>
    </r>
  </si>
  <si>
    <t>放不下时</t>
  </si>
  <si>
    <r>
      <rPr>
        <sz val="10"/>
        <color rgb="FF1F2933"/>
        <rFont val="Noto Sans CJK SC"/>
        <charset val="134"/>
      </rPr>
      <t xml:space="preserve">同一个展示位能放的数有上限，超出时按「有位置 </t>
    </r>
    <r>
      <rPr>
        <sz val="10"/>
        <color rgb="FF1F2933"/>
        <rFont val="微软雅黑"/>
        <charset val="1"/>
      </rPr>
      <t xml:space="preserve">&gt; </t>
    </r>
    <r>
      <rPr>
        <sz val="10"/>
        <color rgb="FF1F2933"/>
        <rFont val="Noto Sans CJK SC"/>
        <charset val="134"/>
      </rPr>
      <t xml:space="preserve">有门禁后果 </t>
    </r>
    <r>
      <rPr>
        <sz val="10"/>
        <color rgb="FF1F2933"/>
        <rFont val="微软雅黑"/>
        <charset val="1"/>
      </rPr>
      <t xml:space="preserve">&gt; </t>
    </r>
    <r>
      <rPr>
        <sz val="10"/>
        <color rgb="FF1F2933"/>
        <rFont val="Noto Sans CJK SC"/>
        <charset val="134"/>
      </rPr>
      <t>参考值」排序取舍。这是排序问题，不是准入问题。</t>
    </r>
  </si>
  <si>
    <r>
      <rPr>
        <b/>
        <sz val="11"/>
        <color rgb="FF1F4E79"/>
        <rFont val="Noto Sans CJK SC"/>
        <charset val="134"/>
      </rPr>
      <t xml:space="preserve">三、不选入的 </t>
    </r>
    <r>
      <rPr>
        <b/>
        <sz val="11"/>
        <color rgb="FF1F4E79"/>
        <rFont val="微软雅黑"/>
        <charset val="1"/>
      </rPr>
      <t xml:space="preserve">38 </t>
    </r>
    <r>
      <rPr>
        <b/>
        <sz val="11"/>
        <color rgb="FF1F4E79"/>
        <rFont val="Noto Sans CJK SC"/>
        <charset val="134"/>
      </rPr>
      <t>项：</t>
    </r>
    <r>
      <rPr>
        <b/>
        <sz val="11"/>
        <color rgb="FF1F4E79"/>
        <rFont val="微软雅黑"/>
        <charset val="1"/>
      </rPr>
      <t xml:space="preserve">6 </t>
    </r>
    <r>
      <rPr>
        <b/>
        <sz val="11"/>
        <color rgb="FF1F4E79"/>
        <rFont val="Noto Sans CJK SC"/>
        <charset val="134"/>
      </rPr>
      <t>组主因</t>
    </r>
  </si>
  <si>
    <t>每一项只归入一组（它最主要的原因）；有的还同时触发第二条准入条件，写在「触发的准入条件」里。「产品取舍」一组不是准入条件的结论，是展示上的决定。项数由「指标清单」页的「不选入的主因」列自动统计。</t>
  </si>
  <si>
    <t>分组</t>
  </si>
  <si>
    <t>一句话主因</t>
  </si>
  <si>
    <t>说明</t>
  </si>
  <si>
    <t>包含哪些指标</t>
  </si>
  <si>
    <t>项数</t>
  </si>
  <si>
    <t>触发的准入条件</t>
  </si>
  <si>
    <t>覆盖率类</t>
  </si>
  <si>
    <r>
      <rPr>
        <sz val="10"/>
        <color rgb="FF1F2933"/>
        <rFont val="Noto Sans CJK SC"/>
        <charset val="134"/>
      </rPr>
      <t xml:space="preserve">几乎恒为 </t>
    </r>
    <r>
      <rPr>
        <sz val="10"/>
        <color rgb="FF1F2933"/>
        <rFont val="微软雅黑"/>
        <charset val="1"/>
      </rPr>
      <t>100%</t>
    </r>
    <r>
      <rPr>
        <sz val="10"/>
        <color rgb="FF1F2933"/>
        <rFont val="Noto Sans CJK SC"/>
        <charset val="134"/>
      </rPr>
      <t>，解析失败另有专门提示</t>
    </r>
  </si>
  <si>
    <r>
      <rPr>
        <sz val="10"/>
        <color rgb="FF1F2933"/>
        <rFont val="Noto Sans CJK SC"/>
        <charset val="134"/>
      </rPr>
      <t xml:space="preserve">覆盖率 </t>
    </r>
    <r>
      <rPr>
        <sz val="10"/>
        <color rgb="FF1F2933"/>
        <rFont val="微软雅黑"/>
        <charset val="1"/>
      </rPr>
      <t xml:space="preserve">= </t>
    </r>
    <r>
      <rPr>
        <sz val="10"/>
        <color rgb="FF1F2933"/>
        <rFont val="Noto Sans CJK SC"/>
        <charset val="134"/>
      </rPr>
      <t xml:space="preserve">成功解析的比例。公式里没有「质量维度」参数，所以同一粒度内的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项（总体 </t>
    </r>
    <r>
      <rPr>
        <sz val="10"/>
        <color rgb="FF1F2933"/>
        <rFont val="微软雅黑"/>
        <charset val="1"/>
      </rPr>
      <t xml:space="preserve">+ 5 </t>
    </r>
    <r>
      <rPr>
        <sz val="10"/>
        <color rgb="FF1F2933"/>
        <rFont val="Noto Sans CJK SC"/>
        <charset val="134"/>
      </rPr>
      <t xml:space="preserve">个维度）取值恒等，实际只携带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个信息；这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个信息又只有在文件解析失败时才会变，而解析失败已经由分析状态「降级」和 </t>
    </r>
    <r>
      <rPr>
        <sz val="10"/>
        <color rgb="FF1F2933"/>
        <rFont val="微软雅黑"/>
        <charset val="1"/>
      </rPr>
      <t xml:space="preserve">BM201 </t>
    </r>
    <r>
      <rPr>
        <sz val="10"/>
        <color rgb="FF1F2933"/>
        <rFont val="Noto Sans CJK SC"/>
        <charset val="134"/>
      </rPr>
      <t>语法错误诊断表达。</t>
    </r>
  </si>
  <si>
    <r>
      <rPr>
        <sz val="10"/>
        <color rgb="FF1F2933"/>
        <rFont val="Noto Sans CJK SC"/>
        <charset val="134"/>
      </rPr>
      <t xml:space="preserve">文件级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项、函数级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项、项目级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>项</t>
    </r>
  </si>
  <si>
    <r>
      <rPr>
        <sz val="10"/>
        <color rgb="FF1F2933"/>
        <rFont val="微软雅黑"/>
        <charset val="1"/>
      </rPr>
      <t xml:space="preserve">A1 </t>
    </r>
    <r>
      <rPr>
        <sz val="10"/>
        <color rgb="FF1F2933"/>
        <rFont val="Noto Sans CJK SC"/>
        <charset val="134"/>
      </rPr>
      <t>有区分度</t>
    </r>
  </si>
  <si>
    <t>维度遵从度</t>
  </si>
  <si>
    <t>只是把规则命中按质量维度重新分组，且组内数值相同</t>
  </si>
  <si>
    <t>质量维度（可维护、可读、可靠、安全、可测试）是规则的分组：知道命中了哪条规则，就知道哪些维度不达标。五个维度里，可维护、可读、可测试涉及的规则完全相同，安全、可靠涉及的规则完全相同，所以五项实际只有两个不同的值。门禁栏的「问题按规则分布」比它更细。</t>
  </si>
  <si>
    <r>
      <rPr>
        <sz val="10"/>
        <color rgb="FF1F2933"/>
        <rFont val="Noto Sans CJK SC"/>
        <charset val="134"/>
      </rPr>
      <t xml:space="preserve">文件级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项、函数级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>项</t>
    </r>
  </si>
  <si>
    <t>项目级遵从度</t>
  </si>
  <si>
    <r>
      <rPr>
        <sz val="10"/>
        <color rgb="FF1F2933"/>
        <rFont val="Noto Sans CJK SC"/>
        <charset val="134"/>
      </rPr>
      <t xml:space="preserve">只有 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和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两个取值，等价于门禁的通过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阻塞</t>
    </r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</si>
  <si>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聚合下只能是通过（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）或不通过（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）。</t>
    </r>
  </si>
  <si>
    <r>
      <rPr>
        <sz val="10"/>
        <color rgb="FF1F2933"/>
        <rFont val="Noto Sans CJK SC"/>
        <charset val="134"/>
      </rPr>
      <t xml:space="preserve">总体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项、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个维度共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>项</t>
    </r>
  </si>
  <si>
    <r>
      <rPr>
        <sz val="10"/>
        <color rgb="FF1F2933"/>
        <rFont val="微软雅黑"/>
        <charset val="1"/>
      </rPr>
      <t xml:space="preserve">A1 </t>
    </r>
    <r>
      <rPr>
        <sz val="10"/>
        <color rgb="FF1F2933"/>
        <rFont val="Noto Sans CJK SC"/>
        <charset val="134"/>
      </rPr>
      <t>有区分度；</t>
    </r>
    <r>
      <rPr>
        <sz val="10"/>
        <color rgb="FF1F2933"/>
        <rFont val="微软雅黑"/>
        <charset val="1"/>
      </rPr>
      <t xml:space="preserve">A3 </t>
    </r>
    <r>
      <rPr>
        <sz val="10"/>
        <color rgb="FF1F2933"/>
        <rFont val="Noto Sans CJK SC"/>
        <charset val="134"/>
      </rPr>
      <t>尺度有效</t>
    </r>
  </si>
  <si>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满足度</t>
    </r>
  </si>
  <si>
    <r>
      <rPr>
        <sz val="10"/>
        <color rgb="FF1F2933"/>
        <rFont val="Noto Sans CJK SC"/>
        <charset val="134"/>
      </rPr>
      <t>与「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超限比例」互补，两数相加恒为 </t>
    </r>
    <r>
      <rPr>
        <sz val="10"/>
        <color rgb="FF1F2933"/>
        <rFont val="微软雅黑"/>
        <charset val="1"/>
      </rPr>
      <t>1</t>
    </r>
  </si>
  <si>
    <r>
      <rPr>
        <sz val="10"/>
        <color rgb="FF1F2933"/>
        <rFont val="Noto Sans CJK SC"/>
        <charset val="134"/>
      </rPr>
      <t xml:space="preserve">满足度 </t>
    </r>
    <r>
      <rPr>
        <sz val="10"/>
        <color rgb="FF1F2933"/>
        <rFont val="微软雅黑"/>
        <charset val="1"/>
      </rPr>
      <t xml:space="preserve">= CCA </t>
    </r>
    <r>
      <rPr>
        <sz val="10"/>
        <color rgb="FF1F2933"/>
        <rFont val="Noto Sans CJK SC"/>
        <charset val="134"/>
      </rPr>
      <t xml:space="preserve">复杂度 ≤ </t>
    </r>
    <r>
      <rPr>
        <sz val="10"/>
        <color rgb="FF1F2933"/>
        <rFont val="微软雅黑"/>
        <charset val="1"/>
      </rPr>
      <t xml:space="preserve">20 </t>
    </r>
    <r>
      <rPr>
        <sz val="10"/>
        <color rgb="FF1F2933"/>
        <rFont val="Noto Sans CJK SC"/>
        <charset val="134"/>
      </rPr>
      <t xml:space="preserve">的函数占比，超限比例 </t>
    </r>
    <r>
      <rPr>
        <sz val="10"/>
        <color rgb="FF1F2933"/>
        <rFont val="微软雅黑"/>
        <charset val="1"/>
      </rPr>
      <t xml:space="preserve">= CCA </t>
    </r>
    <r>
      <rPr>
        <sz val="10"/>
        <color rgb="FF1F2933"/>
        <rFont val="Noto Sans CJK SC"/>
        <charset val="134"/>
      </rPr>
      <t xml:space="preserve">复杂度 </t>
    </r>
    <r>
      <rPr>
        <sz val="10"/>
        <color rgb="FF1F2933"/>
        <rFont val="微软雅黑"/>
        <charset val="1"/>
      </rPr>
      <t xml:space="preserve">&gt; 20 </t>
    </r>
    <r>
      <rPr>
        <sz val="10"/>
        <color rgb="FF1F2933"/>
        <rFont val="Noto Sans CJK SC"/>
        <charset val="134"/>
      </rPr>
      <t>的占比，知道一个就知道另一个。</t>
    </r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</si>
  <si>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阈值满足度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项</t>
    </r>
  </si>
  <si>
    <t>告警类</t>
  </si>
  <si>
    <t>与编辑器里已有的告警重复，或范围越小越失真</t>
  </si>
  <si>
    <r>
      <rPr>
        <sz val="10"/>
        <color rgb="FF1F2933"/>
        <rFont val="Noto Sans CJK SC"/>
        <charset val="134"/>
      </rPr>
      <t xml:space="preserve">编译告警密度统计的告警在 </t>
    </r>
    <r>
      <rPr>
        <sz val="10"/>
        <color rgb="FF1F2933"/>
        <rFont val="微软雅黑"/>
        <charset val="1"/>
      </rPr>
      <t xml:space="preserve">rust-analyzer </t>
    </r>
    <r>
      <rPr>
        <sz val="10"/>
        <color rgb="FF1F2933"/>
        <rFont val="Noto Sans CJK SC"/>
        <charset val="134"/>
      </rPr>
      <t>里已经直接显示，且依赖本机工具链；静态告警密度的分子就是已逐条列出的诊断，比率随范围缩小而失真。</t>
    </r>
  </si>
  <si>
    <t>编译告警密度、静态告警密度</t>
  </si>
  <si>
    <r>
      <rPr>
        <sz val="10"/>
        <color rgb="FF1F2933"/>
        <rFont val="微软雅黑"/>
        <charset val="1"/>
      </rPr>
      <t xml:space="preserve">A1 </t>
    </r>
    <r>
      <rPr>
        <sz val="10"/>
        <color rgb="FF1F2933"/>
        <rFont val="Noto Sans CJK SC"/>
        <charset val="134"/>
      </rPr>
      <t xml:space="preserve">有区分度；静态告警密度另触发 </t>
    </r>
    <r>
      <rPr>
        <sz val="10"/>
        <color rgb="FF1F2933"/>
        <rFont val="微软雅黑"/>
        <charset val="1"/>
      </rPr>
      <t>A3</t>
    </r>
  </si>
  <si>
    <t>产品取舍</t>
  </si>
  <si>
    <t>产品决定不摆达标率：面板给的是结论与按规则的分布，不是一个要读者自己判断好坏的比例</t>
  </si>
  <si>
    <r>
      <rPr>
        <sz val="10"/>
        <color rgb="FF1F2933"/>
        <rFont val="Noto Sans CJK SC"/>
        <charset val="134"/>
      </rPr>
      <t>文件达标率（</t>
    </r>
    <r>
      <rPr>
        <sz val="10"/>
        <color rgb="FF1F2933"/>
        <rFont val="微软雅黑"/>
        <charset val="1"/>
      </rPr>
      <t>rules.conformity.total</t>
    </r>
    <r>
      <rPr>
        <sz val="10"/>
        <color rgb="FF1F2933"/>
        <rFont val="Noto Sans CJK SC"/>
        <charset val="134"/>
      </rPr>
      <t xml:space="preserve">）本身有区分度，也过了 </t>
    </r>
    <r>
      <rPr>
        <sz val="10"/>
        <color rgb="FF1F2933"/>
        <rFont val="微软雅黑"/>
        <charset val="1"/>
      </rPr>
      <t>A2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，不是被准入条件排除的，是使用界面时的取舍：一个比例让读者自己判断「</t>
    </r>
    <r>
      <rPr>
        <sz val="10"/>
        <color rgb="FF1F2933"/>
        <rFont val="微软雅黑"/>
        <charset val="1"/>
      </rPr>
      <t xml:space="preserve">77.3% </t>
    </r>
    <r>
      <rPr>
        <sz val="10"/>
        <color rgb="FF1F2933"/>
        <rFont val="Noto Sans CJK SC"/>
        <charset val="134"/>
      </rPr>
      <t>算好还是不好」，而门禁栏已经给出结论（已阻塞、</t>
    </r>
    <r>
      <rPr>
        <sz val="10"/>
        <color rgb="FF1F2933"/>
        <rFont val="微软雅黑"/>
        <charset val="1"/>
      </rPr>
      <t xml:space="preserve">52 </t>
    </r>
    <r>
      <rPr>
        <sz val="10"/>
        <color rgb="FF1F2933"/>
        <rFont val="Noto Sans CJK SC"/>
        <charset val="134"/>
      </rPr>
      <t xml:space="preserve">条）与按规则的分布，面板上再摆一个比例是重复的信息。所以工作区面板不摆达标率；函数达标率 </t>
    </r>
    <r>
      <rPr>
        <sz val="10"/>
        <color rgb="FF1F2933"/>
        <rFont val="微软雅黑"/>
        <charset val="1"/>
      </rPr>
      <t xml:space="preserve">rules.conformity.function </t>
    </r>
    <r>
      <rPr>
        <sz val="10"/>
        <color rgb="FF1F2933"/>
        <rFont val="Noto Sans CJK SC"/>
        <charset val="134"/>
      </rPr>
      <t xml:space="preserve">保留，但只出现在文件状态栏（底栏「函数达标 </t>
    </r>
    <r>
      <rPr>
        <sz val="10"/>
        <color rgb="FF1F2933"/>
        <rFont val="微软雅黑"/>
        <charset val="1"/>
      </rPr>
      <t>47/48</t>
    </r>
    <r>
      <rPr>
        <sz val="10"/>
        <color rgb="FF1F2933"/>
        <rFont val="Noto Sans CJK SC"/>
        <charset val="134"/>
      </rPr>
      <t xml:space="preserve">」与悬停画像）。这一项在目录里 </t>
    </r>
    <r>
      <rPr>
        <sz val="10"/>
        <color rgb="FF1F2933"/>
        <rFont val="微软雅黑"/>
        <charset val="1"/>
      </rPr>
      <t xml:space="preserve">selected </t>
    </r>
    <r>
      <rPr>
        <sz val="10"/>
        <color rgb="FF1F2933"/>
        <rFont val="Noto Sans CJK SC"/>
        <charset val="134"/>
      </rPr>
      <t xml:space="preserve">设为 </t>
    </r>
    <r>
      <rPr>
        <sz val="10"/>
        <color rgb="FF1F2933"/>
        <rFont val="微软雅黑"/>
        <charset val="1"/>
      </rPr>
      <t>false</t>
    </r>
    <r>
      <rPr>
        <sz val="10"/>
        <color rgb="FF1F2933"/>
        <rFont val="Noto Sans CJK SC"/>
        <charset val="134"/>
      </rPr>
      <t xml:space="preserve">，理由写作「界面不摆达标率」；要恢复，把 </t>
    </r>
    <r>
      <rPr>
        <sz val="10"/>
        <color rgb="FF1F2933"/>
        <rFont val="微软雅黑"/>
        <charset val="1"/>
      </rPr>
      <t xml:space="preserve">selected </t>
    </r>
    <r>
      <rPr>
        <sz val="10"/>
        <color rgb="FF1F2933"/>
        <rFont val="Noto Sans CJK SC"/>
        <charset val="134"/>
      </rPr>
      <t xml:space="preserve">改回 </t>
    </r>
    <r>
      <rPr>
        <sz val="10"/>
        <color rgb="FF1F2933"/>
        <rFont val="微软雅黑"/>
        <charset val="1"/>
      </rPr>
      <t xml:space="preserve">true </t>
    </r>
    <r>
      <rPr>
        <sz val="10"/>
        <color rgb="FF1F2933"/>
        <rFont val="Noto Sans CJK SC"/>
        <charset val="134"/>
      </rPr>
      <t xml:space="preserve">并给它一个 </t>
    </r>
    <r>
      <rPr>
        <sz val="10"/>
        <color rgb="FF1F2933"/>
        <rFont val="微软雅黑"/>
        <charset val="1"/>
      </rPr>
      <t xml:space="preserve">panel </t>
    </r>
    <r>
      <rPr>
        <sz val="10"/>
        <color rgb="FF1F2933"/>
        <rFont val="Noto Sans CJK SC"/>
        <charset val="134"/>
      </rPr>
      <t>部件即可，不动代码。</t>
    </r>
  </si>
  <si>
    <r>
      <rPr>
        <sz val="10"/>
        <color rgb="FF1F2933"/>
        <rFont val="Noto Sans CJK SC"/>
        <charset val="134"/>
      </rPr>
      <t xml:space="preserve">文件达标率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项</t>
    </r>
  </si>
  <si>
    <t>无（不是准入条件的结论，是展示取舍）</t>
  </si>
  <si>
    <t>合计</t>
  </si>
  <si>
    <t>四、数量核对</t>
  </si>
  <si>
    <t>步骤</t>
  </si>
  <si>
    <t>数量</t>
  </si>
  <si>
    <t>工具输出的全部指标</t>
  </si>
  <si>
    <r>
      <rPr>
        <sz val="10"/>
        <color rgb="FF1F2933"/>
        <rFont val="Noto Sans CJK SC"/>
        <charset val="134"/>
      </rPr>
      <t xml:space="preserve">来自 </t>
    </r>
    <r>
      <rPr>
        <sz val="10"/>
        <color rgb="FF1F2933"/>
        <rFont val="微软雅黑"/>
        <charset val="1"/>
      </rPr>
      <t xml:space="preserve">bot-metric 1.2.1 </t>
    </r>
    <r>
      <rPr>
        <sz val="10"/>
        <color rgb="FF1F2933"/>
        <rFont val="Noto Sans CJK SC"/>
        <charset val="134"/>
      </rPr>
      <t>的实测输出</t>
    </r>
  </si>
  <si>
    <t>没有给出计算方式，不评估</t>
  </si>
  <si>
    <r>
      <rPr>
        <sz val="10"/>
        <color rgb="FF1F2933"/>
        <rFont val="Noto Sans CJK SC"/>
        <charset val="134"/>
      </rPr>
      <t xml:space="preserve">高效、可移植两个维度的 </t>
    </r>
    <r>
      <rPr>
        <sz val="10"/>
        <color rgb="FF1F2933"/>
        <rFont val="微软雅黑"/>
        <charset val="1"/>
      </rPr>
      <t xml:space="preserve">12 </t>
    </r>
    <r>
      <rPr>
        <sz val="10"/>
        <color rgb="FF1F2933"/>
        <rFont val="Noto Sans CJK SC"/>
        <charset val="134"/>
      </rPr>
      <t>项，见「已排除指标」页</t>
    </r>
  </si>
  <si>
    <t>参与评估</t>
  </si>
  <si>
    <t>全部指标减去没有计算方式的</t>
  </si>
  <si>
    <t>选入</t>
  </si>
  <si>
    <t>不选入</t>
  </si>
  <si>
    <t>核对</t>
  </si>
  <si>
    <r>
      <rPr>
        <sz val="10"/>
        <color rgb="FF1F2933"/>
        <rFont val="Noto Sans CJK SC"/>
        <charset val="134"/>
      </rPr>
      <t xml:space="preserve">选入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>不选入 应等于参与评估</t>
    </r>
  </si>
  <si>
    <t>判定对象</t>
  </si>
  <si>
    <t>该级别在插件里的落点</t>
  </si>
  <si>
    <t>参评</t>
  </si>
  <si>
    <t>单个函数，或光标所在语法项</t>
  </si>
  <si>
    <r>
      <rPr>
        <sz val="10"/>
        <color rgb="FF1F2933"/>
        <rFont val="微软雅黑"/>
        <charset val="1"/>
      </rPr>
      <t>CodeLens</t>
    </r>
    <r>
      <rPr>
        <sz val="10"/>
        <color rgb="FF1F2933"/>
        <rFont val="Noto Sans CJK SC"/>
        <charset val="134"/>
      </rPr>
      <t>（有问题的函数）、悬停（任意函数）、诊断（能精确到行列）</t>
    </r>
  </si>
  <si>
    <t>单个文件或目录</t>
  </si>
  <si>
    <t>文件状态栏、文件级诊断（只能挂在文件顶部）；侧栏「问题」视图按文件分组</t>
  </si>
  <si>
    <t>整个源码集合</t>
  </si>
  <si>
    <t>工作区面板、门禁栏（编辑器文本区没有对应位置）</t>
  </si>
  <si>
    <t>序号</t>
  </si>
  <si>
    <t>指标名称（中文）</t>
  </si>
  <si>
    <t>结论</t>
  </si>
  <si>
    <t>一句话理由</t>
  </si>
  <si>
    <r>
      <rPr>
        <b/>
        <sz val="10"/>
        <color rgb="FFFFFFFF"/>
        <rFont val="Noto Sans CJK SC"/>
        <charset val="134"/>
      </rPr>
      <t xml:space="preserve">详细说明（为什么选入 </t>
    </r>
    <r>
      <rPr>
        <b/>
        <sz val="10"/>
        <color rgb="FFFFFFFF"/>
        <rFont val="微软雅黑"/>
        <charset val="1"/>
      </rPr>
      <t xml:space="preserve">/ </t>
    </r>
    <r>
      <rPr>
        <b/>
        <sz val="10"/>
        <color rgb="FFFFFFFF"/>
        <rFont val="Noto Sans CJK SC"/>
        <charset val="134"/>
      </rPr>
      <t>为什么不选入）</t>
    </r>
  </si>
  <si>
    <t>对应规则</t>
  </si>
  <si>
    <t>对应质量目标</t>
  </si>
  <si>
    <t>展示限制（哪些位置不展示、为什么）</t>
  </si>
  <si>
    <t>不选入的主因（分组）</t>
  </si>
  <si>
    <r>
      <rPr>
        <b/>
        <sz val="10"/>
        <color rgb="FFFFFFFF"/>
        <rFont val="Noto Sans CJK SC"/>
        <charset val="134"/>
      </rPr>
      <t>指标标识（</t>
    </r>
    <r>
      <rPr>
        <b/>
        <sz val="10"/>
        <color rgb="FFFFFFFF"/>
        <rFont val="微软雅黑"/>
        <charset val="1"/>
      </rPr>
      <t>bot-metric id</t>
    </r>
    <r>
      <rPr>
        <b/>
        <sz val="10"/>
        <color rgb="FFFFFFFF"/>
        <rFont val="Noto Sans CJK SC"/>
        <charset val="134"/>
      </rPr>
      <t>）</t>
    </r>
  </si>
  <si>
    <r>
      <rPr>
        <b/>
        <sz val="10"/>
        <color rgb="FFFFFFFF"/>
        <rFont val="Noto Sans CJK SC"/>
        <charset val="134"/>
      </rPr>
      <t xml:space="preserve">默认阈值 </t>
    </r>
    <r>
      <rPr>
        <b/>
        <sz val="10"/>
        <color rgb="FFFFFFFF"/>
        <rFont val="微软雅黑"/>
        <charset val="1"/>
      </rPr>
      <t xml:space="preserve">/ </t>
    </r>
    <r>
      <rPr>
        <b/>
        <sz val="10"/>
        <color rgb="FFFFFFFF"/>
        <rFont val="Noto Sans CJK SC"/>
        <charset val="134"/>
      </rPr>
      <t>参数</t>
    </r>
  </si>
  <si>
    <t>分子（怎么数）</t>
  </si>
  <si>
    <t>分母（除以谁）</t>
  </si>
  <si>
    <t>能否按光标处取值</t>
  </si>
  <si>
    <r>
      <rPr>
        <b/>
        <sz val="10"/>
        <color rgb="FFFFFFFF"/>
        <rFont val="Noto Sans CJK SC"/>
        <charset val="134"/>
      </rPr>
      <t>工作区实测（</t>
    </r>
    <r>
      <rPr>
        <b/>
        <sz val="10"/>
        <color rgb="FFFFFFFF"/>
        <rFont val="微软雅黑"/>
        <charset val="1"/>
      </rPr>
      <t xml:space="preserve">ripgrep </t>
    </r>
    <r>
      <rPr>
        <b/>
        <sz val="10"/>
        <color rgb="FFFFFFFF"/>
        <rFont val="Noto Sans CJK SC"/>
        <charset val="134"/>
      </rPr>
      <t>全量）</t>
    </r>
  </si>
  <si>
    <r>
      <rPr>
        <b/>
        <sz val="10"/>
        <color rgb="FFFFFFFF"/>
        <rFont val="Noto Sans CJK SC"/>
        <charset val="134"/>
      </rPr>
      <t>本文件实测（</t>
    </r>
    <r>
      <rPr>
        <b/>
        <sz val="10"/>
        <color rgb="FFFFFFFF"/>
        <rFont val="微软雅黑"/>
        <charset val="1"/>
      </rPr>
      <t>hiargs.rs</t>
    </r>
    <r>
      <rPr>
        <b/>
        <sz val="10"/>
        <color rgb="FFFFFFFF"/>
        <rFont val="Noto Sans CJK SC"/>
        <charset val="134"/>
      </rPr>
      <t>）</t>
    </r>
  </si>
  <si>
    <r>
      <rPr>
        <b/>
        <sz val="10"/>
        <color rgb="FFFFFFFF"/>
        <rFont val="Noto Sans CJK SC"/>
        <charset val="134"/>
      </rPr>
      <t>光标处实测（</t>
    </r>
    <r>
      <rPr>
        <b/>
        <sz val="10"/>
        <color rgb="FFFFFFFF"/>
        <rFont val="微软雅黑"/>
        <charset val="1"/>
      </rPr>
      <t>from_low_args</t>
    </r>
    <r>
      <rPr>
        <b/>
        <sz val="10"/>
        <color rgb="FFFFFFFF"/>
        <rFont val="Noto Sans CJK SC"/>
        <charset val="134"/>
      </rPr>
      <t>）</t>
    </r>
  </si>
  <si>
    <t>工具分类</t>
  </si>
  <si>
    <r>
      <rPr>
        <sz val="10"/>
        <color rgb="FF1F2933"/>
        <rFont val="Noto Sans CJK SC"/>
        <charset val="134"/>
      </rPr>
      <t xml:space="preserve">被质量目标 </t>
    </r>
    <r>
      <rPr>
        <sz val="10"/>
        <color rgb="FF1F2933"/>
        <rFont val="微软雅黑"/>
        <charset val="1"/>
      </rPr>
      <t>max_average_function_lines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 xml:space="preserve">30 </t>
    </r>
    <r>
      <rPr>
        <sz val="10"/>
        <color rgb="FF1F2933"/>
        <rFont val="Noto Sans CJK SC"/>
        <charset val="134"/>
      </rPr>
      <t xml:space="preserve">行）考核，实测 </t>
    </r>
    <r>
      <rPr>
        <sz val="10"/>
        <color rgb="FF1F2933"/>
        <rFont val="微软雅黑"/>
        <charset val="1"/>
      </rPr>
      <t xml:space="preserve">8.52 </t>
    </r>
    <r>
      <rPr>
        <sz val="10"/>
        <color rgb="FF1F2933"/>
        <rFont val="Noto Sans CJK SC"/>
        <charset val="134"/>
      </rPr>
      <t>行，达标。</t>
    </r>
  </si>
  <si>
    <t>—</t>
  </si>
  <si>
    <r>
      <rPr>
        <sz val="10"/>
        <color rgb="FF1F2933"/>
        <rFont val="微软雅黑"/>
        <charset val="1"/>
      </rPr>
      <t>max_average_function_lines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 xml:space="preserve">30 </t>
    </r>
    <r>
      <rPr>
        <sz val="10"/>
        <color rgb="FF1F2933"/>
        <rFont val="Noto Sans CJK SC"/>
        <charset val="134"/>
      </rPr>
      <t>行）</t>
    </r>
  </si>
  <si>
    <r>
      <rPr>
        <sz val="10"/>
        <color rgb="FF1F2933"/>
        <rFont val="Noto Sans CJK SC"/>
        <charset val="134"/>
      </rPr>
      <t xml:space="preserve">函数悬停里，没有问题的函数取这一项在该函数（语法项投影）上的值当作「函数体行数」；命中 </t>
    </r>
    <r>
      <rPr>
        <sz val="10"/>
        <color rgb="FF1F2933"/>
        <rFont val="微软雅黑"/>
        <charset val="1"/>
      </rPr>
      <t xml:space="preserve">BM001 </t>
    </r>
    <r>
      <rPr>
        <sz val="10"/>
        <color rgb="FF1F2933"/>
        <rFont val="Noto Sans CJK SC"/>
        <charset val="134"/>
      </rPr>
      <t xml:space="preserve">的函数改用规则条目里的实际值，更准。投影区域含闭包或嵌套 </t>
    </r>
    <r>
      <rPr>
        <sz val="10"/>
        <color rgb="FF1F2933"/>
        <rFont val="微软雅黑"/>
        <charset val="1"/>
      </rPr>
      <t xml:space="preserve">fn </t>
    </r>
    <r>
      <rPr>
        <sz val="10"/>
        <color rgb="FF1F2933"/>
        <rFont val="Noto Sans CJK SC"/>
        <charset val="134"/>
      </rPr>
      <t>时得到的是区域平均，会比函数自己的行数小（</t>
    </r>
    <r>
      <rPr>
        <sz val="10"/>
        <color rgb="FF1F2933"/>
        <rFont val="微软雅黑"/>
        <charset val="1"/>
      </rPr>
      <t xml:space="preserve">from_low_args </t>
    </r>
    <r>
      <rPr>
        <sz val="10"/>
        <color rgb="FF1F2933"/>
        <rFont val="Noto Sans CJK SC"/>
        <charset val="134"/>
      </rPr>
      <t xml:space="preserve">实测区域平均 </t>
    </r>
    <r>
      <rPr>
        <sz val="10"/>
        <color rgb="FF1F2933"/>
        <rFont val="微软雅黑"/>
        <charset val="1"/>
      </rPr>
      <t>41.2</t>
    </r>
    <r>
      <rPr>
        <sz val="10"/>
        <color rgb="FF1F2933"/>
        <rFont val="Noto Sans CJK SC"/>
        <charset val="134"/>
      </rPr>
      <t xml:space="preserve">，规则条目给出 </t>
    </r>
    <r>
      <rPr>
        <sz val="10"/>
        <color rgb="FF1F2933"/>
        <rFont val="微软雅黑"/>
        <charset val="1"/>
      </rPr>
      <t>185</t>
    </r>
    <r>
      <rPr>
        <sz val="10"/>
        <color rgb="FF1F2933"/>
        <rFont val="Noto Sans CJK SC"/>
        <charset val="134"/>
      </rPr>
      <t xml:space="preserve">），见设计文档 </t>
    </r>
    <r>
      <rPr>
        <sz val="10"/>
        <color rgb="FF1F2933"/>
        <rFont val="微软雅黑"/>
        <charset val="1"/>
      </rPr>
      <t>R-2</t>
    </r>
    <r>
      <rPr>
        <sz val="10"/>
        <color rgb="FF1F2933"/>
        <rFont val="Noto Sans CJK SC"/>
        <charset val="134"/>
      </rPr>
      <t>。文件状态栏与工作区面板展示的是本文件、工作区范围的平均。</t>
    </r>
  </si>
  <si>
    <t>callable</t>
  </si>
  <si>
    <t>function.lines.average</t>
  </si>
  <si>
    <r>
      <rPr>
        <sz val="10"/>
        <color rgb="FF1F2933"/>
        <rFont val="Noto Sans CJK SC"/>
        <charset val="134"/>
      </rPr>
      <t xml:space="preserve">无阈值（质量目标 ≤ </t>
    </r>
    <r>
      <rPr>
        <sz val="10"/>
        <color rgb="FF1F2933"/>
        <rFont val="微软雅黑"/>
        <charset val="1"/>
      </rPr>
      <t xml:space="preserve">30 </t>
    </r>
    <r>
      <rPr>
        <sz val="10"/>
        <color rgb="FF1F2933"/>
        <rFont val="Noto Sans CJK SC"/>
        <charset val="134"/>
      </rPr>
      <t>行）</t>
    </r>
  </si>
  <si>
    <r>
      <rPr>
        <sz val="10"/>
        <color rgb="FF1F2933"/>
        <rFont val="Noto Sans CJK SC"/>
        <charset val="134"/>
      </rPr>
      <t xml:space="preserve">所有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 xml:space="preserve">函数体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 xml:space="preserve">行数之和（函数体按 </t>
    </r>
    <r>
      <rPr>
        <sz val="10"/>
        <color rgb="FF1F2933"/>
        <rFont val="微软雅黑"/>
        <charset val="1"/>
      </rPr>
      <t xml:space="preserve">`{` </t>
    </r>
    <r>
      <rPr>
        <sz val="10"/>
        <color rgb="FF1F2933"/>
        <rFont val="Noto Sans CJK SC"/>
        <charset val="134"/>
      </rPr>
      <t xml:space="preserve">所在行到 </t>
    </r>
    <r>
      <rPr>
        <sz val="10"/>
        <color rgb="FF1F2933"/>
        <rFont val="微软雅黑"/>
        <charset val="1"/>
      </rPr>
      <t xml:space="preserve">`}` </t>
    </r>
    <r>
      <rPr>
        <sz val="10"/>
        <color rgb="FF1F2933"/>
        <rFont val="Noto Sans CJK SC"/>
        <charset val="134"/>
      </rPr>
      <t>所在行计，</t>
    </r>
    <r>
      <rPr>
        <sz val="10"/>
        <color rgb="FF1F2933"/>
        <rFont val="微软雅黑"/>
        <charset val="1"/>
      </rPr>
      <t xml:space="preserve">`{` </t>
    </r>
    <r>
      <rPr>
        <sz val="10"/>
        <color rgb="FF1F2933"/>
        <rFont val="Noto Sans CJK SC"/>
        <charset val="134"/>
      </rPr>
      <t>与签名同行时该行计入）</t>
    </r>
  </si>
  <si>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 xml:space="preserve">数量（自由函数、含嵌套 </t>
    </r>
    <r>
      <rPr>
        <sz val="10"/>
        <color rgb="FF1F2933"/>
        <rFont val="微软雅黑"/>
        <charset val="1"/>
      </rPr>
      <t>fn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impl </t>
    </r>
    <r>
      <rPr>
        <sz val="10"/>
        <color rgb="FF1F2933"/>
        <rFont val="Noto Sans CJK SC"/>
        <charset val="134"/>
      </rPr>
      <t xml:space="preserve">方法与关联函数、带默认体的 </t>
    </r>
    <r>
      <rPr>
        <sz val="10"/>
        <color rgb="FF1F2933"/>
        <rFont val="微软雅黑"/>
        <charset val="1"/>
      </rPr>
      <t xml:space="preserve">trait </t>
    </r>
    <r>
      <rPr>
        <sz val="10"/>
        <color rgb="FF1F2933"/>
        <rFont val="Noto Sans CJK SC"/>
        <charset val="134"/>
      </rPr>
      <t>方法；不含闭包）</t>
    </r>
  </si>
  <si>
    <t>能</t>
  </si>
  <si>
    <r>
      <rPr>
        <sz val="10"/>
        <color rgb="FF1F2933"/>
        <rFont val="微软雅黑"/>
        <charset val="1"/>
      </rPr>
      <t xml:space="preserve">8.52 </t>
    </r>
    <r>
      <rPr>
        <sz val="10"/>
        <color rgb="FF1F2933"/>
        <rFont val="Noto Sans CJK SC"/>
        <charset val="134"/>
      </rPr>
      <t>行（</t>
    </r>
    <r>
      <rPr>
        <sz val="10"/>
        <color rgb="FF1F2933"/>
        <rFont val="微软雅黑"/>
        <charset val="1"/>
      </rPr>
      <t>20,574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</si>
  <si>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19.71 </t>
    </r>
    <r>
      <rPr>
        <sz val="10"/>
        <color rgb="FF1F2933"/>
        <rFont val="Noto Sans CJK SC"/>
        <charset val="134"/>
      </rPr>
      <t>行（</t>
    </r>
    <r>
      <rPr>
        <sz val="10"/>
        <color rgb="FF1F2933"/>
        <rFont val="微软雅黑"/>
        <charset val="1"/>
      </rPr>
      <t>946 / 48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</si>
  <si>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41.2 </t>
    </r>
    <r>
      <rPr>
        <sz val="10"/>
        <color rgb="FF1F2933"/>
        <rFont val="Noto Sans CJK SC"/>
        <charset val="134"/>
      </rPr>
      <t>行（</t>
    </r>
    <r>
      <rPr>
        <sz val="10"/>
        <color rgb="FF1F2933"/>
        <rFont val="微软雅黑"/>
        <charset val="1"/>
      </rPr>
      <t>206 / 5</t>
    </r>
    <r>
      <rPr>
        <sz val="10"/>
        <color rgb="FF1F2933"/>
        <rFont val="Noto Sans CJK SC"/>
        <charset val="134"/>
      </rPr>
      <t>）</t>
    </r>
  </si>
  <si>
    <t>基础度量</t>
  </si>
  <si>
    <r>
      <rPr>
        <sz val="10"/>
        <color rgb="FF1F2933"/>
        <rFont val="Noto Sans CJK SC"/>
        <charset val="134"/>
      </rPr>
      <t xml:space="preserve">对应规则 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 xml:space="preserve">「函数过长」，读作「共 </t>
    </r>
    <r>
      <rPr>
        <sz val="10"/>
        <color rgb="FF1F2933"/>
        <rFont val="微软雅黑"/>
        <charset val="1"/>
      </rPr>
      <t xml:space="preserve">N </t>
    </r>
    <r>
      <rPr>
        <sz val="10"/>
        <color rgb="FF1F2933"/>
        <rFont val="Noto Sans CJK SC"/>
        <charset val="134"/>
      </rPr>
      <t xml:space="preserve">个函数，其中 </t>
    </r>
    <r>
      <rPr>
        <sz val="10"/>
        <color rgb="FF1F2933"/>
        <rFont val="微软雅黑"/>
        <charset val="1"/>
      </rPr>
      <t xml:space="preserve">M </t>
    </r>
    <r>
      <rPr>
        <sz val="10"/>
        <color rgb="FF1F2933"/>
        <rFont val="Noto Sans CJK SC"/>
        <charset val="134"/>
      </rPr>
      <t xml:space="preserve">个超大」（本文件 </t>
    </r>
    <r>
      <rPr>
        <sz val="10"/>
        <color rgb="FF1F2933"/>
        <rFont val="微软雅黑"/>
        <charset val="1"/>
      </rPr>
      <t>1/48</t>
    </r>
    <r>
      <rPr>
        <sz val="10"/>
        <color rgb="FF1F2933"/>
        <rFont val="Noto Sans CJK SC"/>
        <charset val="134"/>
      </rPr>
      <t xml:space="preserve">，工作区 </t>
    </r>
    <r>
      <rPr>
        <sz val="10"/>
        <color rgb="FF1F2933"/>
        <rFont val="微软雅黑"/>
        <charset val="1"/>
      </rPr>
      <t>38/2,414</t>
    </r>
    <r>
      <rPr>
        <sz val="10"/>
        <color rgb="FF1F2933"/>
        <rFont val="Noto Sans CJK SC"/>
        <charset val="134"/>
      </rPr>
      <t>）。</t>
    </r>
  </si>
  <si>
    <t>BM001</t>
  </si>
  <si>
    <r>
      <rPr>
        <sz val="10"/>
        <color rgb="FF1F2933"/>
        <rFont val="Noto Sans CJK SC"/>
        <charset val="134"/>
      </rPr>
      <t xml:space="preserve">按光标处取值时只会是 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或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，悬停不展示这一项本身（悬停里的函数体行数取它在目录里 </t>
    </r>
    <r>
      <rPr>
        <sz val="10"/>
        <color rgb="FF1F2933"/>
        <rFont val="微软雅黑"/>
        <charset val="1"/>
      </rPr>
      <t xml:space="preserve">valueMetric </t>
    </r>
    <r>
      <rPr>
        <sz val="10"/>
        <color rgb="FF1F2933"/>
        <rFont val="Noto Sans CJK SC"/>
        <charset val="134"/>
      </rPr>
      <t xml:space="preserve">指向的平均指标）；具体哪个函数过长由 </t>
    </r>
    <r>
      <rPr>
        <sz val="10"/>
        <color rgb="FF1F2933"/>
        <rFont val="微软雅黑"/>
        <charset val="1"/>
      </rPr>
      <t xml:space="preserve">BM001 </t>
    </r>
    <r>
      <rPr>
        <sz val="10"/>
        <color rgb="FF1F2933"/>
        <rFont val="Noto Sans CJK SC"/>
        <charset val="134"/>
      </rPr>
      <t>诊断提示。</t>
    </r>
  </si>
  <si>
    <t>function.lines.huge_ratio</t>
  </si>
  <si>
    <r>
      <rPr>
        <sz val="10"/>
        <color rgb="FF1F2933"/>
        <rFont val="Noto Sans CJK SC"/>
        <charset val="134"/>
      </rPr>
      <t xml:space="preserve">函数体超过 </t>
    </r>
    <r>
      <rPr>
        <sz val="10"/>
        <color rgb="FF1F2933"/>
        <rFont val="微软雅黑"/>
        <charset val="1"/>
      </rPr>
      <t xml:space="preserve">50 </t>
    </r>
    <r>
      <rPr>
        <sz val="10"/>
        <color rgb="FF1F2933"/>
        <rFont val="Noto Sans CJK SC"/>
        <charset val="134"/>
      </rPr>
      <t>行算超大</t>
    </r>
  </si>
  <si>
    <r>
      <rPr>
        <sz val="10"/>
        <color rgb="FF1F2933"/>
        <rFont val="Noto Sans CJK SC"/>
        <charset val="134"/>
      </rPr>
      <t xml:space="preserve">函数体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 xml:space="preserve">严格大于阈值的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</t>
    </r>
  </si>
  <si>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数量</t>
    </r>
  </si>
  <si>
    <r>
      <rPr>
        <sz val="10"/>
        <color rgb="FF1F2933"/>
        <rFont val="微软雅黑"/>
        <charset val="1"/>
      </rPr>
      <t>1.57%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38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</si>
  <si>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2.08%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 / 48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</si>
  <si>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20.0%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 / 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</si>
  <si>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被质量目标 </t>
    </r>
    <r>
      <rPr>
        <sz val="10"/>
        <color rgb="FF1F2933"/>
        <rFont val="微软雅黑"/>
        <charset val="1"/>
      </rPr>
      <t>max_average_cyclomatic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5</t>
    </r>
    <r>
      <rPr>
        <sz val="10"/>
        <color rgb="FF1F2933"/>
        <rFont val="Noto Sans CJK SC"/>
        <charset val="134"/>
      </rPr>
      <t xml:space="preserve">）考核，实测 </t>
    </r>
    <r>
      <rPr>
        <sz val="10"/>
        <color rgb="FF1F2933"/>
        <rFont val="微软雅黑"/>
        <charset val="1"/>
      </rPr>
      <t>2.10</t>
    </r>
    <r>
      <rPr>
        <sz val="10"/>
        <color rgb="FF1F2933"/>
        <rFont val="Noto Sans CJK SC"/>
        <charset val="134"/>
      </rPr>
      <t xml:space="preserve">，达标。圈复杂度会给写法清晰的宽分派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打高分，所以并列展示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两项作对照，而不是把它删掉。</t>
    </r>
  </si>
  <si>
    <r>
      <rPr>
        <sz val="10"/>
        <color rgb="FF1F2933"/>
        <rFont val="微软雅黑"/>
        <charset val="1"/>
      </rPr>
      <t>max_average_cyclomatic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</si>
  <si>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函数悬停里，没有问题的函数取这一项在该函数（语法项投影）上的值当作「圈复杂度」；命中 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>的函数改用规则条目里的实际值。区域含闭包时是区域平均（</t>
    </r>
    <r>
      <rPr>
        <sz val="10"/>
        <color rgb="FF1F2933"/>
        <rFont val="微软雅黑"/>
        <charset val="1"/>
      </rPr>
      <t xml:space="preserve">from_low_args </t>
    </r>
    <r>
      <rPr>
        <sz val="10"/>
        <color rgb="FF1F2933"/>
        <rFont val="Noto Sans CJK SC"/>
        <charset val="134"/>
      </rPr>
      <t xml:space="preserve">实测 </t>
    </r>
    <r>
      <rPr>
        <sz val="10"/>
        <color rgb="FF1F2933"/>
        <rFont val="微软雅黑"/>
        <charset val="1"/>
      </rPr>
      <t>9.2</t>
    </r>
    <r>
      <rPr>
        <sz val="10"/>
        <color rgb="FF1F2933"/>
        <rFont val="Noto Sans CJK SC"/>
        <charset val="134"/>
      </rPr>
      <t xml:space="preserve">，规则条目给出 </t>
    </r>
    <r>
      <rPr>
        <sz val="10"/>
        <color rgb="FF1F2933"/>
        <rFont val="微软雅黑"/>
        <charset val="1"/>
      </rPr>
      <t>34</t>
    </r>
    <r>
      <rPr>
        <sz val="10"/>
        <color rgb="FF1F2933"/>
        <rFont val="Noto Sans CJK SC"/>
        <charset val="134"/>
      </rPr>
      <t xml:space="preserve">），见设计文档 </t>
    </r>
    <r>
      <rPr>
        <sz val="10"/>
        <color rgb="FF1F2933"/>
        <rFont val="微软雅黑"/>
        <charset val="1"/>
      </rPr>
      <t>R-2</t>
    </r>
    <r>
      <rPr>
        <sz val="10"/>
        <color rgb="FF1F2933"/>
        <rFont val="Noto Sans CJK SC"/>
        <charset val="134"/>
      </rPr>
      <t>。</t>
    </r>
  </si>
  <si>
    <t>complexity.cyclomatic.average</t>
  </si>
  <si>
    <r>
      <rPr>
        <sz val="10"/>
        <color rgb="FF1F2933"/>
        <rFont val="Noto Sans CJK SC"/>
        <charset val="134"/>
      </rPr>
      <t xml:space="preserve">无阈值（质量目标 ≤ </t>
    </r>
    <r>
      <rPr>
        <sz val="10"/>
        <color rgb="FF1F2933"/>
        <rFont val="微软雅黑"/>
        <charset val="1"/>
      </rPr>
      <t>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</si>
  <si>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所有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 xml:space="preserve">的圈复杂度之和（初值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，遇 </t>
    </r>
    <r>
      <rPr>
        <sz val="10"/>
        <color rgb="FF1F2933"/>
        <rFont val="微软雅黑"/>
        <charset val="1"/>
      </rPr>
      <t xml:space="preserve">if / for / loop / while / match </t>
    </r>
    <r>
      <rPr>
        <sz val="10"/>
        <color rgb="FF1F2933"/>
        <rFont val="Noto Sans CJK SC"/>
        <charset val="134"/>
      </rPr>
      <t>分支（首分支不计）</t>
    </r>
    <r>
      <rPr>
        <sz val="10"/>
        <color rgb="FF1F2933"/>
        <rFont val="微软雅黑"/>
        <charset val="1"/>
      </rPr>
      <t xml:space="preserve">/ `?` / let-else / &amp;&amp; / || </t>
    </r>
    <r>
      <rPr>
        <sz val="10"/>
        <color rgb="FF1F2933"/>
        <rFont val="Noto Sans CJK SC"/>
        <charset val="134"/>
      </rPr>
      <t xml:space="preserve">各加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</si>
  <si>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2.10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5,068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</si>
  <si>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4.52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217 / 48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</si>
  <si>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9.20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46 / 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</si>
  <si>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对应规则 </t>
    </r>
    <r>
      <rPr>
        <sz val="10"/>
        <color rgb="FF1F2933"/>
        <rFont val="微软雅黑"/>
        <charset val="1"/>
      </rPr>
      <t>BM004</t>
    </r>
    <r>
      <rPr>
        <sz val="10"/>
        <color rgb="FF1F2933"/>
        <rFont val="Noto Sans CJK SC"/>
        <charset val="134"/>
      </rPr>
      <t xml:space="preserve">「函数复杂度过高」。诊断文本里直接写出具体数字（如圈复杂度 </t>
    </r>
    <r>
      <rPr>
        <sz val="10"/>
        <color rgb="FF1F2933"/>
        <rFont val="微软雅黑"/>
        <charset val="1"/>
      </rPr>
      <t>34</t>
    </r>
    <r>
      <rPr>
        <sz val="10"/>
        <color rgb="FF1F2933"/>
        <rFont val="Noto Sans CJK SC"/>
        <charset val="134"/>
      </rPr>
      <t xml:space="preserve">，上限 </t>
    </r>
    <r>
      <rPr>
        <sz val="10"/>
        <color rgb="FF1F2933"/>
        <rFont val="微软雅黑"/>
        <charset val="1"/>
      </rPr>
      <t>20</t>
    </r>
    <r>
      <rPr>
        <sz val="10"/>
        <color rgb="FF1F2933"/>
        <rFont val="Noto Sans CJK SC"/>
        <charset val="134"/>
      </rPr>
      <t>），是单个函数复杂度唯一准确的来源；与「超大函数比例」配对，出现在文件状态栏悬停的画像里。</t>
    </r>
  </si>
  <si>
    <t>BM004</t>
  </si>
  <si>
    <r>
      <rPr>
        <sz val="10"/>
        <color rgb="FF1F2933"/>
        <rFont val="Noto Sans CJK SC"/>
        <charset val="134"/>
      </rPr>
      <t xml:space="preserve">按光标处取值时只会是 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或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，悬停不展示这一项本身（悬停里的圈复杂度取它在目录里 </t>
    </r>
    <r>
      <rPr>
        <sz val="10"/>
        <color rgb="FF1F2933"/>
        <rFont val="微软雅黑"/>
        <charset val="1"/>
      </rPr>
      <t xml:space="preserve">valueMetric </t>
    </r>
    <r>
      <rPr>
        <sz val="10"/>
        <color rgb="FF1F2933"/>
        <rFont val="Noto Sans CJK SC"/>
        <charset val="134"/>
      </rPr>
      <t>指向的平均指标）。</t>
    </r>
  </si>
  <si>
    <t>complexity.cyclomatic.huge_ratio</t>
  </si>
  <si>
    <r>
      <rPr>
        <sz val="10"/>
        <color rgb="FF1F2933"/>
        <rFont val="Noto Sans CJK SC"/>
        <charset val="134"/>
      </rPr>
      <t xml:space="preserve">圈复杂度超过 </t>
    </r>
    <r>
      <rPr>
        <sz val="10"/>
        <color rgb="FF1F2933"/>
        <rFont val="微软雅黑"/>
        <charset val="1"/>
      </rPr>
      <t xml:space="preserve">20 </t>
    </r>
    <r>
      <rPr>
        <sz val="10"/>
        <color rgb="FF1F2933"/>
        <rFont val="Noto Sans CJK SC"/>
        <charset val="134"/>
      </rPr>
      <t>算超大</t>
    </r>
  </si>
  <si>
    <r>
      <rPr>
        <sz val="10"/>
        <color rgb="FF1F2933"/>
        <rFont val="Noto Sans CJK SC"/>
        <charset val="134"/>
      </rPr>
      <t xml:space="preserve">圈复杂度严格大于阈值的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</t>
    </r>
  </si>
  <si>
    <r>
      <rPr>
        <sz val="10"/>
        <color rgb="FF1F2933"/>
        <rFont val="微软雅黑"/>
        <charset val="1"/>
      </rPr>
      <t>0.25%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6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</si>
  <si>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是圈复杂度的变体：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的各分支体都很简单时，整条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只算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，而不是按分支数累加。圈复杂度会给写法清晰的宽分派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很高的分（实测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分支 </t>
    </r>
    <r>
      <rPr>
        <sz val="10"/>
        <color rgb="FF1F2933"/>
        <rFont val="微软雅黑"/>
        <charset val="1"/>
      </rPr>
      <t>match</t>
    </r>
    <r>
      <rPr>
        <sz val="10"/>
        <color rgb="FF1F2933"/>
        <rFont val="Noto Sans CJK SC"/>
        <charset val="134"/>
      </rPr>
      <t xml:space="preserve">：圈复杂度 </t>
    </r>
    <r>
      <rPr>
        <sz val="10"/>
        <color rgb="FF1F2933"/>
        <rFont val="微软雅黑"/>
        <charset val="1"/>
      </rPr>
      <t>6</t>
    </r>
    <r>
      <rPr>
        <sz val="10"/>
        <color rgb="FF1F2933"/>
        <rFont val="Noto Sans CJK SC"/>
        <charset val="134"/>
      </rPr>
      <t>，</t>
    </r>
    <r>
      <rPr>
        <sz val="10"/>
        <color rgb="FF1F2933"/>
        <rFont val="微软雅黑"/>
        <charset val="1"/>
      </rPr>
      <t>CCA 2</t>
    </r>
    <r>
      <rPr>
        <sz val="10"/>
        <color rgb="FF1F2933"/>
        <rFont val="Noto Sans CJK SC"/>
        <charset val="134"/>
      </rPr>
      <t xml:space="preserve">），开发者为了降分可能把清晰的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拆成嵌套 </t>
    </r>
    <r>
      <rPr>
        <sz val="10"/>
        <color rgb="FF1F2933"/>
        <rFont val="微软雅黑"/>
        <charset val="1"/>
      </rPr>
      <t>if</t>
    </r>
    <r>
      <rPr>
        <sz val="10"/>
        <color rgb="FF1F2933"/>
        <rFont val="Noto Sans CJK SC"/>
        <charset val="134"/>
      </rPr>
      <t xml:space="preserve">，代码反而更差。两者并列，能让人看出「分高是因为分派，不是真复杂」。
过 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：对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的算法不同，数值不同，不是重复。过 </t>
    </r>
    <r>
      <rPr>
        <sz val="10"/>
        <color rgb="FF1F2933"/>
        <rFont val="微软雅黑"/>
        <charset val="1"/>
      </rPr>
      <t>A2</t>
    </r>
    <r>
      <rPr>
        <sz val="10"/>
        <color rgb="FF1F2933"/>
        <rFont val="Noto Sans CJK SC"/>
        <charset val="134"/>
      </rPr>
      <t xml:space="preserve">：降低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不会鼓励更糟的写法。没有对应规则或质量目标，只作参考值，不设阈值、不标红。</t>
    </r>
  </si>
  <si>
    <t>complexity.cca.average</t>
  </si>
  <si>
    <t>无阈值</t>
  </si>
  <si>
    <r>
      <rPr>
        <sz val="10"/>
        <color rgb="FF1F2933"/>
        <rFont val="Noto Sans CJK SC"/>
        <charset val="134"/>
      </rPr>
      <t xml:space="preserve">所有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 xml:space="preserve">的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复杂度之和（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的各分支体都不含决策点时整条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只加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，否则与圈复杂度同）</t>
    </r>
  </si>
  <si>
    <r>
      <rPr>
        <sz val="10"/>
        <color rgb="FF1F2933"/>
        <rFont val="微软雅黑"/>
        <charset val="1"/>
      </rPr>
      <t>2.02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4,877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</si>
  <si>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4.29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206 / 48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</si>
  <si>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9.00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45 / 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</si>
  <si>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与圈复杂度的超限比例并列，两者的差就是被圈复杂度高估的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>分派函数（</t>
    </r>
    <r>
      <rPr>
        <sz val="10"/>
        <color rgb="FF1F2933"/>
        <rFont val="微软雅黑"/>
        <charset val="1"/>
      </rPr>
      <t xml:space="preserve">ripgrep </t>
    </r>
    <r>
      <rPr>
        <sz val="10"/>
        <color rgb="FF1F2933"/>
        <rFont val="Noto Sans CJK SC"/>
        <charset val="134"/>
      </rPr>
      <t xml:space="preserve">实测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个对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个，差的那个是 </t>
    </r>
    <r>
      <rPr>
        <sz val="10"/>
        <color rgb="FF1F2933"/>
        <rFont val="微软雅黑"/>
        <charset val="1"/>
      </rPr>
      <t xml:space="preserve">main.rs </t>
    </r>
    <r>
      <rPr>
        <sz val="10"/>
        <color rgb="FF1F2933"/>
        <rFont val="Noto Sans CJK SC"/>
        <charset val="134"/>
      </rPr>
      <t xml:space="preserve">里的 </t>
    </r>
    <r>
      <rPr>
        <sz val="10"/>
        <color rgb="FF1F2933"/>
        <rFont val="微软雅黑"/>
        <charset val="1"/>
      </rPr>
      <t>run</t>
    </r>
    <r>
      <rPr>
        <sz val="10"/>
        <color rgb="FF1F2933"/>
        <rFont val="Noto Sans CJK SC"/>
        <charset val="134"/>
      </rPr>
      <t xml:space="preserve">），可用来判断 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>的某条命中是不是误报。没有对应规则或质量目标，只作参考值。</t>
    </r>
  </si>
  <si>
    <t>complexity.cca.huge_ratio</t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</si>
  <si>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复杂度超过 </t>
    </r>
    <r>
      <rPr>
        <sz val="10"/>
        <color rgb="FF1F2933"/>
        <rFont val="微软雅黑"/>
        <charset val="1"/>
      </rPr>
      <t xml:space="preserve">20 </t>
    </r>
    <r>
      <rPr>
        <sz val="10"/>
        <color rgb="FF1F2933"/>
        <rFont val="Noto Sans CJK SC"/>
        <charset val="134"/>
      </rPr>
      <t>算超限</t>
    </r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</si>
  <si>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复杂度严格大于阈值的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</t>
    </r>
  </si>
  <si>
    <r>
      <rPr>
        <sz val="10"/>
        <color rgb="FF1F2933"/>
        <rFont val="微软雅黑"/>
        <charset val="1"/>
      </rPr>
      <t>0.21%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5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</si>
  <si>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汇总 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BM002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 xml:space="preserve">三条函数级规则，实测 </t>
    </r>
    <r>
      <rPr>
        <sz val="10"/>
        <color rgb="FF1F2933"/>
        <rFont val="微软雅黑"/>
        <charset val="1"/>
      </rPr>
      <t>2,372/2,414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98.3%</t>
    </r>
    <r>
      <rPr>
        <sz val="10"/>
        <color rgb="FF1F2933"/>
        <rFont val="Noto Sans CJK SC"/>
        <charset val="134"/>
      </rPr>
      <t xml:space="preserve">）。函数粒度上只保留「总体」这一项：按质量维度切分的五项互相重复，见「不选入」。它是文件状态栏底栏「函数达标 </t>
    </r>
    <r>
      <rPr>
        <sz val="10"/>
        <color rgb="FF1F2933"/>
        <rFont val="微软雅黑"/>
        <charset val="1"/>
      </rPr>
      <t>47/48</t>
    </r>
    <r>
      <rPr>
        <sz val="10"/>
        <color rgb="FF1F2933"/>
        <rFont val="Noto Sans CJK SC"/>
        <charset val="134"/>
      </rPr>
      <t>」的来源，也是悬停画像的第一行；工作区面板不摆它。</t>
    </r>
  </si>
  <si>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BM002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BM004</t>
    </r>
  </si>
  <si>
    <r>
      <rPr>
        <sz val="10"/>
        <color rgb="FF1F2933"/>
        <rFont val="Noto Sans CJK SC"/>
        <charset val="134"/>
      </rPr>
      <t xml:space="preserve">解析失败的文件会被算进分母。默认的 </t>
    </r>
    <r>
      <rPr>
        <sz val="10"/>
        <color rgb="FF1F2933"/>
        <rFont val="微软雅黑"/>
        <charset val="1"/>
      </rPr>
      <t xml:space="preserve">unknown_policy = fail </t>
    </r>
    <r>
      <rPr>
        <sz val="10"/>
        <color rgb="FF1F2933"/>
        <rFont val="Noto Sans CJK SC"/>
        <charset val="134"/>
      </rPr>
      <t xml:space="preserve">下，编辑中的一处语法错误就会让达标率骤降，所以需要配成 </t>
    </r>
    <r>
      <rPr>
        <sz val="10"/>
        <color rgb="FF1F2933"/>
        <rFont val="微软雅黑"/>
        <charset val="1"/>
      </rPr>
      <t>unknown_policy = exclude</t>
    </r>
    <r>
      <rPr>
        <sz val="10"/>
        <color rgb="FF1F2933"/>
        <rFont val="Noto Sans CJK SC"/>
        <charset val="134"/>
      </rPr>
      <t xml:space="preserve">（见设计文档 </t>
    </r>
    <r>
      <rPr>
        <sz val="10"/>
        <color rgb="FF1F2933"/>
        <rFont val="微软雅黑"/>
        <charset val="1"/>
      </rPr>
      <t>DD-5</t>
    </r>
    <r>
      <rPr>
        <sz val="10"/>
        <color rgb="FF1F2933"/>
        <rFont val="Noto Sans CJK SC"/>
        <charset val="134"/>
      </rPr>
      <t>）。</t>
    </r>
  </si>
  <si>
    <t>rules.conformity.function</t>
  </si>
  <si>
    <t>命中任一相关规则即不达标；解析失败的文件按不达标计</t>
  </si>
  <si>
    <r>
      <rPr>
        <sz val="10"/>
        <color rgb="FF1F2933"/>
        <rFont val="Noto Sans CJK SC"/>
        <charset val="134"/>
      </rPr>
      <t xml:space="preserve">没有命中任何函数级相关规则的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</t>
    </r>
  </si>
  <si>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数量（</t>
    </r>
    <r>
      <rPr>
        <sz val="10"/>
        <color rgb="FF1F2933"/>
        <rFont val="微软雅黑"/>
        <charset val="1"/>
      </rPr>
      <t xml:space="preserve">unknown_policy = fail </t>
    </r>
    <r>
      <rPr>
        <sz val="10"/>
        <color rgb="FF1F2933"/>
        <rFont val="Noto Sans CJK SC"/>
        <charset val="134"/>
      </rPr>
      <t>时再加解析失败的文件数）</t>
    </r>
  </si>
  <si>
    <t>不能</t>
  </si>
  <si>
    <r>
      <rPr>
        <sz val="10"/>
        <color rgb="FF1F2933"/>
        <rFont val="微软雅黑"/>
        <charset val="1"/>
      </rPr>
      <t>98.3%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2,372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</si>
  <si>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97.9%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47 / 48</t>
    </r>
    <r>
      <rPr>
        <sz val="10"/>
        <color rgb="FF1F2933"/>
        <rFont val="Noto Sans CJK SC"/>
        <charset val="134"/>
      </rPr>
      <t>）</t>
    </r>
  </si>
  <si>
    <t>规则统计指标</t>
  </si>
  <si>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阈值满足度</t>
    </r>
  </si>
  <si>
    <r>
      <rPr>
        <sz val="10"/>
        <color rgb="FF1F2933"/>
        <rFont val="Noto Sans CJK SC"/>
        <charset val="134"/>
      </rPr>
      <t xml:space="preserve">满足度是 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复杂度 ≤ </t>
    </r>
    <r>
      <rPr>
        <sz val="10"/>
        <color rgb="FF1F2933"/>
        <rFont val="微软雅黑"/>
        <charset val="1"/>
      </rPr>
      <t xml:space="preserve">20 </t>
    </r>
    <r>
      <rPr>
        <sz val="10"/>
        <color rgb="FF1F2933"/>
        <rFont val="Noto Sans CJK SC"/>
        <charset val="134"/>
      </rPr>
      <t xml:space="preserve">的函数占比，超限比例是 </t>
    </r>
    <r>
      <rPr>
        <sz val="10"/>
        <color rgb="FF1F2933"/>
        <rFont val="微软雅黑"/>
        <charset val="1"/>
      </rPr>
      <t xml:space="preserve">&gt; 20 </t>
    </r>
    <r>
      <rPr>
        <sz val="10"/>
        <color rgb="FF1F2933"/>
        <rFont val="Noto Sans CJK SC"/>
        <charset val="134"/>
      </rPr>
      <t xml:space="preserve">的占比，两者之和恒为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（实测 </t>
    </r>
    <r>
      <rPr>
        <sz val="10"/>
        <color rgb="FF1F2933"/>
        <rFont val="微软雅黑"/>
        <charset val="1"/>
      </rPr>
      <t xml:space="preserve">2,409/2,414 </t>
    </r>
    <r>
      <rPr>
        <sz val="10"/>
        <color rgb="FF1F2933"/>
        <rFont val="Noto Sans CJK SC"/>
        <charset val="134"/>
      </rPr>
      <t xml:space="preserve">与 </t>
    </r>
    <r>
      <rPr>
        <sz val="10"/>
        <color rgb="FF1F2933"/>
        <rFont val="微软雅黑"/>
        <charset val="1"/>
      </rPr>
      <t>5/2,414</t>
    </r>
    <r>
      <rPr>
        <sz val="10"/>
        <color rgb="FF1F2933"/>
        <rFont val="Noto Sans CJK SC"/>
        <charset val="134"/>
      </rPr>
      <t>），知道一个就知道另一个，不带新信息。另外它是全工具唯一用「小于等于」判定的指标，方向与相邻指标相反，并排展示容易读反。</t>
    </r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保留平均值和超限比例两项。</t>
    </r>
  </si>
  <si>
    <t>不展示</t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</si>
  <si>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满足度</t>
    </r>
  </si>
  <si>
    <t>complexity.cca.adequacy</t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</si>
  <si>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复杂度 ≤ </t>
    </r>
    <r>
      <rPr>
        <sz val="10"/>
        <color rgb="FF1F2933"/>
        <rFont val="微软雅黑"/>
        <charset val="1"/>
      </rPr>
      <t xml:space="preserve">20 </t>
    </r>
    <r>
      <rPr>
        <sz val="10"/>
        <color rgb="FF1F2933"/>
        <rFont val="Noto Sans CJK SC"/>
        <charset val="134"/>
      </rPr>
      <t>算满足</t>
    </r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</si>
  <si>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 xml:space="preserve">复杂度小于等于阈值的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</t>
    </r>
  </si>
  <si>
    <r>
      <rPr>
        <sz val="10"/>
        <color rgb="FF1F2933"/>
        <rFont val="微软雅黑"/>
        <charset val="1"/>
      </rPr>
      <t>99.8%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2,409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</si>
  <si>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80.0%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 / 5</t>
    </r>
    <r>
      <rPr>
        <sz val="10"/>
        <color rgb="FF1F2933"/>
        <rFont val="Noto Sans CJK SC"/>
        <charset val="134"/>
      </rPr>
      <t>）</t>
    </r>
  </si>
  <si>
    <t>函数级可维护规则遵从度</t>
  </si>
  <si>
    <r>
      <rPr>
        <sz val="10"/>
        <color rgb="FF1F2933"/>
        <rFont val="Noto Sans CJK SC"/>
        <charset val="134"/>
      </rPr>
      <t>质量维度是规则的分组：知道命中了哪条规则，就知道哪些维度不达标。函数级的可维护、可读、可测试三项涉及的规则完全相同（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BM004</t>
    </r>
    <r>
      <rPr>
        <sz val="10"/>
        <color rgb="FF1F2933"/>
        <rFont val="Noto Sans CJK SC"/>
        <charset val="134"/>
      </rPr>
      <t xml:space="preserve">），本项与可读、可测试同值（工作区实测 </t>
    </r>
    <r>
      <rPr>
        <sz val="10"/>
        <color rgb="FF1F2933"/>
        <rFont val="微软雅黑"/>
        <charset val="1"/>
      </rPr>
      <t>2,375 / 2,414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</si>
  <si>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涉及部分规则（按维度筛选）</t>
  </si>
  <si>
    <t>rules.conformity.function.maintainability</t>
  </si>
  <si>
    <r>
      <rPr>
        <sz val="10"/>
        <color rgb="FF1F2933"/>
        <rFont val="Noto Sans CJK SC"/>
        <charset val="134"/>
      </rPr>
      <t>解析失败的文件按不达标计（</t>
    </r>
    <r>
      <rPr>
        <sz val="10"/>
        <color rgb="FF1F2933"/>
        <rFont val="微软雅黑"/>
        <charset val="1"/>
      </rPr>
      <t>unknown_policy = fail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</si>
  <si>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98.4%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2,375 / 2,414</t>
    </r>
    <r>
      <rPr>
        <sz val="10"/>
        <color rgb="FF1F2933"/>
        <rFont val="Noto Sans CJK SC"/>
        <charset val="134"/>
      </rPr>
      <t>）</t>
    </r>
  </si>
  <si>
    <t>函数级可读规则遵从度</t>
  </si>
  <si>
    <r>
      <rPr>
        <sz val="10"/>
        <color rgb="FF1F2933"/>
        <rFont val="Noto Sans CJK SC"/>
        <charset val="134"/>
      </rPr>
      <t>质量维度是规则的分组：知道命中了哪条规则，就知道哪些维度不达标。函数级的可维护、可读、可测试三项涉及的规则完全相同（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BM004</t>
    </r>
    <r>
      <rPr>
        <sz val="10"/>
        <color rgb="FF1F2933"/>
        <rFont val="Noto Sans CJK SC"/>
        <charset val="134"/>
      </rPr>
      <t xml:space="preserve">），本项与可维护、可测试同值（工作区实测 </t>
    </r>
    <r>
      <rPr>
        <sz val="10"/>
        <color rgb="FF1F2933"/>
        <rFont val="微软雅黑"/>
        <charset val="1"/>
      </rPr>
      <t>2,375 / 2,414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</si>
  <si>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rules.conformity.function.readability</t>
  </si>
  <si>
    <t>函数级可靠规则遵从度</t>
  </si>
  <si>
    <r>
      <rPr>
        <sz val="10"/>
        <color rgb="FF1F2933"/>
        <rFont val="Noto Sans CJK SC"/>
        <charset val="134"/>
      </rPr>
      <t>质量维度是规则的分组：知道命中了哪条规则，就知道哪些维度不达标。函数级的安全、可靠两项涉及的规则完全相同（</t>
    </r>
    <r>
      <rPr>
        <sz val="10"/>
        <color rgb="FF1F2933"/>
        <rFont val="微软雅黑"/>
        <charset val="1"/>
      </rPr>
      <t>BM002</t>
    </r>
    <r>
      <rPr>
        <sz val="10"/>
        <color rgb="FF1F2933"/>
        <rFont val="Noto Sans CJK SC"/>
        <charset val="134"/>
      </rPr>
      <t xml:space="preserve">），本项与安全同值（工作区实测 </t>
    </r>
    <r>
      <rPr>
        <sz val="10"/>
        <color rgb="FF1F2933"/>
        <rFont val="微软雅黑"/>
        <charset val="1"/>
      </rPr>
      <t>2,410 / 2,414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</si>
  <si>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rules.conformity.function.reliability</t>
  </si>
  <si>
    <r>
      <rPr>
        <sz val="10"/>
        <color rgb="FF1F2933"/>
        <rFont val="微软雅黑"/>
        <charset val="1"/>
      </rPr>
      <t>99.8%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2,410 / 2,414</t>
    </r>
    <r>
      <rPr>
        <sz val="10"/>
        <color rgb="FF1F2933"/>
        <rFont val="Noto Sans CJK SC"/>
        <charset val="134"/>
      </rPr>
      <t>）</t>
    </r>
  </si>
  <si>
    <t>函数级安全规则遵从度</t>
  </si>
  <si>
    <r>
      <rPr>
        <sz val="10"/>
        <color rgb="FF1F2933"/>
        <rFont val="Noto Sans CJK SC"/>
        <charset val="134"/>
      </rPr>
      <t>质量维度是规则的分组：知道命中了哪条规则，就知道哪些维度不达标。函数级的安全、可靠两项涉及的规则完全相同（</t>
    </r>
    <r>
      <rPr>
        <sz val="10"/>
        <color rgb="FF1F2933"/>
        <rFont val="微软雅黑"/>
        <charset val="1"/>
      </rPr>
      <t>BM002</t>
    </r>
    <r>
      <rPr>
        <sz val="10"/>
        <color rgb="FF1F2933"/>
        <rFont val="Noto Sans CJK SC"/>
        <charset val="134"/>
      </rPr>
      <t xml:space="preserve">），本项与可靠同值（工作区实测 </t>
    </r>
    <r>
      <rPr>
        <sz val="10"/>
        <color rgb="FF1F2933"/>
        <rFont val="微软雅黑"/>
        <charset val="1"/>
      </rPr>
      <t>2,410 / 2,414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</si>
  <si>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rules.conformity.function.security</t>
  </si>
  <si>
    <t>函数级可测试规则遵从度</t>
  </si>
  <si>
    <r>
      <rPr>
        <sz val="10"/>
        <color rgb="FF1F2933"/>
        <rFont val="Noto Sans CJK SC"/>
        <charset val="134"/>
      </rPr>
      <t>质量维度是规则的分组：知道命中了哪条规则，就知道哪些维度不达标。函数级的可维护、可读、可测试三项涉及的规则完全相同（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BM004</t>
    </r>
    <r>
      <rPr>
        <sz val="10"/>
        <color rgb="FF1F2933"/>
        <rFont val="Noto Sans CJK SC"/>
        <charset val="134"/>
      </rPr>
      <t xml:space="preserve">），本项与可维护、可读同值（工作区实测 </t>
    </r>
    <r>
      <rPr>
        <sz val="10"/>
        <color rgb="FF1F2933"/>
        <rFont val="微软雅黑"/>
        <charset val="1"/>
      </rPr>
      <t>2,375 / 2,414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</si>
  <si>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rules.conformity.function.testability</t>
  </si>
  <si>
    <t>解析覆盖率</t>
  </si>
  <si>
    <t>函数级总体规则覆盖率</t>
  </si>
  <si>
    <r>
      <rPr>
        <sz val="10"/>
        <color rgb="FF1F2933"/>
        <rFont val="Noto Sans CJK SC"/>
        <charset val="134"/>
      </rPr>
      <t xml:space="preserve">函数级覆盖率 </t>
    </r>
    <r>
      <rPr>
        <sz val="10"/>
        <color rgb="FF1F2933"/>
        <rFont val="微软雅黑"/>
        <charset val="1"/>
      </rPr>
      <t xml:space="preserve">= </t>
    </r>
    <r>
      <rPr>
        <sz val="10"/>
        <color rgb="FF1F2933"/>
        <rFont val="Noto Sans CJK SC"/>
        <charset val="134"/>
      </rPr>
      <t xml:space="preserve">成功解析的函数占比。公式里没有「质量维度」参数，所以函数级的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项（总体 </t>
    </r>
    <r>
      <rPr>
        <sz val="10"/>
        <color rgb="FF1F2933"/>
        <rFont val="微软雅黑"/>
        <charset val="1"/>
      </rPr>
      <t xml:space="preserve">+ 5 </t>
    </r>
    <r>
      <rPr>
        <sz val="10"/>
        <color rgb="FF1F2933"/>
        <rFont val="Noto Sans CJK SC"/>
        <charset val="134"/>
      </rPr>
      <t xml:space="preserve">个维度）取值恒等，本项与其余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项同值（工作区实测 </t>
    </r>
    <r>
      <rPr>
        <sz val="10"/>
        <color rgb="FF1F2933"/>
        <rFont val="微软雅黑"/>
        <charset val="1"/>
      </rPr>
      <t>2,414 / 2,414</t>
    </r>
    <r>
      <rPr>
        <sz val="10"/>
        <color rgb="FF1F2933"/>
        <rFont val="Noto Sans CJK SC"/>
        <charset val="134"/>
      </rPr>
      <t xml:space="preserve">，即 </t>
    </r>
    <r>
      <rPr>
        <sz val="10"/>
        <color rgb="FF1F2933"/>
        <rFont val="微软雅黑"/>
        <charset val="1"/>
      </rPr>
      <t>100%</t>
    </r>
    <r>
      <rPr>
        <sz val="10"/>
        <color rgb="FF1F2933"/>
        <rFont val="Noto Sans CJK SC"/>
        <charset val="134"/>
      </rPr>
      <t xml:space="preserve">）。它只有在文件解析失败时才会变，而解析失败已经由分析状态「降级」和 </t>
    </r>
    <r>
      <rPr>
        <sz val="10"/>
        <color rgb="FF1F2933"/>
        <rFont val="微软雅黑"/>
        <charset val="1"/>
      </rPr>
      <t xml:space="preserve">BM201 </t>
    </r>
    <r>
      <rPr>
        <sz val="10"/>
        <color rgb="FF1F2933"/>
        <rFont val="Noto Sans CJK SC"/>
        <charset val="134"/>
      </rPr>
      <t>语法错误诊断表达（</t>
    </r>
    <r>
      <rPr>
        <sz val="10"/>
        <color rgb="FF1F2933"/>
        <rFont val="微软雅黑"/>
        <charset val="1"/>
      </rPr>
      <t xml:space="preserve">rust-analyzer </t>
    </r>
    <r>
      <rPr>
        <sz val="10"/>
        <color rgb="FF1F2933"/>
        <rFont val="Noto Sans CJK SC"/>
        <charset val="134"/>
      </rPr>
      <t>也会报语法错误），不需要再占一个展示位。</t>
    </r>
  </si>
  <si>
    <t>rules.coverage.function</t>
  </si>
  <si>
    <r>
      <rPr>
        <sz val="10"/>
        <color rgb="FF1F2933"/>
        <rFont val="Noto Sans CJK SC"/>
        <charset val="134"/>
      </rPr>
      <t xml:space="preserve">解析成功文件中的 </t>
    </r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>数</t>
    </r>
  </si>
  <si>
    <r>
      <rPr>
        <sz val="10"/>
        <color rgb="FF1F2933"/>
        <rFont val="微软雅黑"/>
        <charset val="1"/>
      </rPr>
      <t xml:space="preserve">callable </t>
    </r>
    <r>
      <rPr>
        <sz val="10"/>
        <color rgb="FF1F2933"/>
        <rFont val="Noto Sans CJK SC"/>
        <charset val="134"/>
      </rPr>
      <t xml:space="preserve">数量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 xml:space="preserve">解析失败的文件数（恒加，与 </t>
    </r>
    <r>
      <rPr>
        <sz val="10"/>
        <color rgb="FF1F2933"/>
        <rFont val="微软雅黑"/>
        <charset val="1"/>
      </rPr>
      <t xml:space="preserve">unknown_policy </t>
    </r>
    <r>
      <rPr>
        <sz val="10"/>
        <color rgb="FF1F2933"/>
        <rFont val="Noto Sans CJK SC"/>
        <charset val="134"/>
      </rPr>
      <t>无关）</t>
    </r>
  </si>
  <si>
    <r>
      <rPr>
        <sz val="10"/>
        <color rgb="FF1F2933"/>
        <rFont val="微软雅黑"/>
        <charset val="1"/>
      </rPr>
      <t>100.0%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2,414 / 2,414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</si>
  <si>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100.0%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48 / 48</t>
    </r>
    <r>
      <rPr>
        <sz val="10"/>
        <color rgb="FF1F2933"/>
        <rFont val="Noto Sans CJK SC"/>
        <charset val="134"/>
      </rPr>
      <t>）</t>
    </r>
  </si>
  <si>
    <t>函数级可维护规则覆盖率</t>
  </si>
  <si>
    <t>rules.coverage.function.maintainability</t>
  </si>
  <si>
    <t>函数级可读规则覆盖率</t>
  </si>
  <si>
    <t>rules.coverage.function.readability</t>
  </si>
  <si>
    <t>函数级可靠规则覆盖率</t>
  </si>
  <si>
    <t>rules.coverage.function.reliability</t>
  </si>
  <si>
    <t>函数级安全规则覆盖率</t>
  </si>
  <si>
    <t>rules.coverage.function.security</t>
  </si>
  <si>
    <t>函数级可测试规则覆盖率</t>
  </si>
  <si>
    <t>rules.coverage.function.testability</t>
  </si>
  <si>
    <r>
      <rPr>
        <sz val="10"/>
        <color rgb="FF1F2933"/>
        <rFont val="Noto Sans CJK SC"/>
        <charset val="134"/>
      </rPr>
      <t xml:space="preserve">被质量目标 </t>
    </r>
    <r>
      <rPr>
        <sz val="10"/>
        <color rgb="FF1F2933"/>
        <rFont val="微软雅黑"/>
        <charset val="1"/>
      </rPr>
      <t>max_average_file_lines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 xml:space="preserve">300 </t>
    </r>
    <r>
      <rPr>
        <sz val="10"/>
        <color rgb="FF1F2933"/>
        <rFont val="Noto Sans CJK SC"/>
        <charset val="134"/>
      </rPr>
      <t xml:space="preserve">行）考核。实测 </t>
    </r>
    <r>
      <rPr>
        <sz val="10"/>
        <color rgb="FF1F2933"/>
        <rFont val="微软雅黑"/>
        <charset val="1"/>
      </rPr>
      <t xml:space="preserve">370.5 </t>
    </r>
    <r>
      <rPr>
        <sz val="10"/>
        <color rgb="FF1F2933"/>
        <rFont val="Noto Sans CJK SC"/>
        <charset val="134"/>
      </rPr>
      <t xml:space="preserve">行，是 </t>
    </r>
    <r>
      <rPr>
        <sz val="10"/>
        <color rgb="FF1F2933"/>
        <rFont val="微软雅黑"/>
        <charset val="1"/>
      </rPr>
      <t xml:space="preserve">ripgrep </t>
    </r>
    <r>
      <rPr>
        <sz val="10"/>
        <color rgb="FF1F2933"/>
        <rFont val="Noto Sans CJK SC"/>
        <charset val="134"/>
      </rPr>
      <t>唯一未达标的质量目标，直接决定门禁结论，必须让开发者看到。</t>
    </r>
  </si>
  <si>
    <r>
      <rPr>
        <sz val="10"/>
        <color rgb="FF1F2933"/>
        <rFont val="微软雅黑"/>
        <charset val="1"/>
      </rPr>
      <t>max_average_file_lines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 xml:space="preserve">300 </t>
    </r>
    <r>
      <rPr>
        <sz val="10"/>
        <color rgb="FF1F2933"/>
        <rFont val="Noto Sans CJK SC"/>
        <charset val="134"/>
      </rPr>
      <t>行）</t>
    </r>
  </si>
  <si>
    <r>
      <rPr>
        <sz val="10"/>
        <color rgb="FF1F2933"/>
        <rFont val="Noto Sans CJK SC"/>
        <charset val="134"/>
      </rPr>
      <t xml:space="preserve">单文件范围内分母恒为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，取值就是本文件行数，没有「平均」的含义；所以文件状态栏不展示，只在工作区面板和门禁栏展示。</t>
    </r>
  </si>
  <si>
    <t>文件</t>
  </si>
  <si>
    <t>file.lines.average</t>
  </si>
  <si>
    <r>
      <rPr>
        <sz val="10"/>
        <color rgb="FF1F2933"/>
        <rFont val="Noto Sans CJK SC"/>
        <charset val="134"/>
      </rPr>
      <t xml:space="preserve">无阈值（质量目标 ≤ </t>
    </r>
    <r>
      <rPr>
        <sz val="10"/>
        <color rgb="FF1F2933"/>
        <rFont val="微软雅黑"/>
        <charset val="1"/>
      </rPr>
      <t xml:space="preserve">300 </t>
    </r>
    <r>
      <rPr>
        <sz val="10"/>
        <color rgb="FF1F2933"/>
        <rFont val="Noto Sans CJK SC"/>
        <charset val="134"/>
      </rPr>
      <t>行）</t>
    </r>
  </si>
  <si>
    <r>
      <rPr>
        <sz val="10"/>
        <color rgb="FF1F2933"/>
        <rFont val="Noto Sans CJK SC"/>
        <charset val="134"/>
      </rPr>
      <t xml:space="preserve">所有文件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>行数之和</t>
    </r>
  </si>
  <si>
    <t>纳入统计的文件数</t>
  </si>
  <si>
    <r>
      <rPr>
        <sz val="10"/>
        <color rgb="FF1F2933"/>
        <rFont val="微软雅黑"/>
        <charset val="1"/>
      </rPr>
      <t xml:space="preserve">370.5 </t>
    </r>
    <r>
      <rPr>
        <sz val="10"/>
        <color rgb="FF1F2933"/>
        <rFont val="Noto Sans CJK SC"/>
        <charset val="134"/>
      </rPr>
      <t>行（</t>
    </r>
    <r>
      <rPr>
        <sz val="10"/>
        <color rgb="FF1F2933"/>
        <rFont val="微软雅黑"/>
        <charset val="1"/>
      </rPr>
      <t>40,756 / 110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</si>
  <si>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1,107 </t>
    </r>
    <r>
      <rPr>
        <sz val="10"/>
        <color rgb="FF1F2933"/>
        <rFont val="Noto Sans CJK SC"/>
        <charset val="134"/>
      </rPr>
      <t>行</t>
    </r>
  </si>
  <si>
    <r>
      <rPr>
        <sz val="10"/>
        <color rgb="FF1F2933"/>
        <rFont val="Noto Sans CJK SC"/>
        <charset val="134"/>
      </rPr>
      <t xml:space="preserve">对应规则 </t>
    </r>
    <r>
      <rPr>
        <sz val="10"/>
        <color rgb="FF1F2933"/>
        <rFont val="微软雅黑"/>
        <charset val="1"/>
      </rPr>
      <t>BM003</t>
    </r>
    <r>
      <rPr>
        <sz val="10"/>
        <color rgb="FF1F2933"/>
        <rFont val="Noto Sans CJK SC"/>
        <charset val="134"/>
      </rPr>
      <t xml:space="preserve">「文件过大」：分子就是被规则命中的文件数，分母给出占比（实测 </t>
    </r>
    <r>
      <rPr>
        <sz val="10"/>
        <color rgb="FF1F2933"/>
        <rFont val="微软雅黑"/>
        <charset val="1"/>
      </rPr>
      <t>2/110</t>
    </r>
    <r>
      <rPr>
        <sz val="10"/>
        <color rgb="FF1F2933"/>
        <rFont val="Noto Sans CJK SC"/>
        <charset val="134"/>
      </rPr>
      <t>）。</t>
    </r>
  </si>
  <si>
    <t>BM003</t>
  </si>
  <si>
    <r>
      <rPr>
        <sz val="10"/>
        <color rgb="FF1F2933"/>
        <rFont val="Noto Sans CJK SC"/>
        <charset val="134"/>
      </rPr>
      <t xml:space="preserve">单文件范围内只会是 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或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，所以只在工作区面板展示；具体哪个文件超大，由 </t>
    </r>
    <r>
      <rPr>
        <sz val="10"/>
        <color rgb="FF1F2933"/>
        <rFont val="微软雅黑"/>
        <charset val="1"/>
      </rPr>
      <t xml:space="preserve">BM003 </t>
    </r>
    <r>
      <rPr>
        <sz val="10"/>
        <color rgb="FF1F2933"/>
        <rFont val="Noto Sans CJK SC"/>
        <charset val="134"/>
      </rPr>
      <t>诊断挂在该文件顶部提示。</t>
    </r>
  </si>
  <si>
    <t>file.lines.huge_ratio</t>
  </si>
  <si>
    <r>
      <rPr>
        <sz val="10"/>
        <color rgb="FF1F2933"/>
        <rFont val="Noto Sans CJK SC"/>
        <charset val="134"/>
      </rPr>
      <t xml:space="preserve">文件超过 </t>
    </r>
    <r>
      <rPr>
        <sz val="10"/>
        <color rgb="FF1F2933"/>
        <rFont val="微软雅黑"/>
        <charset val="1"/>
      </rPr>
      <t xml:space="preserve">2000 </t>
    </r>
    <r>
      <rPr>
        <sz val="10"/>
        <color rgb="FF1F2933"/>
        <rFont val="Noto Sans CJK SC"/>
        <charset val="134"/>
      </rPr>
      <t>行算超大</t>
    </r>
  </si>
  <si>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>行数严格大于阈值的文件数</t>
    </r>
  </si>
  <si>
    <r>
      <rPr>
        <sz val="10"/>
        <color rgb="FF1F2933"/>
        <rFont val="微软雅黑"/>
        <charset val="1"/>
      </rPr>
      <t>1.82%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 / 110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</si>
  <si>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 / 1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</si>
  <si>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唯一的目录级指标。过 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：文件级、函数级指标都看不出一个目录是否臃肿。过 </t>
    </r>
    <r>
      <rPr>
        <sz val="10"/>
        <color rgb="FF1F2933"/>
        <rFont val="微软雅黑"/>
        <charset val="1"/>
      </rPr>
      <t>A2</t>
    </r>
    <r>
      <rPr>
        <sz val="10"/>
        <color rgb="FF1F2933"/>
        <rFont val="Noto Sans CJK SC"/>
        <charset val="134"/>
      </rPr>
      <t>：改善办法是拆分过大的目录，方向没有争议。没有对应规则或质量目标，只作参考值。</t>
    </r>
  </si>
  <si>
    <t>目录在编辑器文本区没有对应位置，只在工作区面板展示，不作诊断。单文件输入时不产生这项指标。</t>
  </si>
  <si>
    <t>目录</t>
  </si>
  <si>
    <t>directory.huge_ratio</t>
  </si>
  <si>
    <r>
      <rPr>
        <sz val="10"/>
        <color rgb="FF1F2933"/>
        <rFont val="Noto Sans CJK SC"/>
        <charset val="134"/>
      </rPr>
      <t xml:space="preserve">目录直接子项超过 </t>
    </r>
    <r>
      <rPr>
        <sz val="10"/>
        <color rgb="FF1F2933"/>
        <rFont val="微软雅黑"/>
        <charset val="1"/>
      </rPr>
      <t xml:space="preserve">50 </t>
    </r>
    <r>
      <rPr>
        <sz val="10"/>
        <color rgb="FF1F2933"/>
        <rFont val="Noto Sans CJK SC"/>
        <charset val="134"/>
      </rPr>
      <t xml:space="preserve">算超大（直接子目录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>所有类型的文件）</t>
    </r>
  </si>
  <si>
    <r>
      <rPr>
        <sz val="10"/>
        <color rgb="FF1F2933"/>
        <rFont val="Noto Sans CJK SC"/>
        <charset val="134"/>
      </rPr>
      <t xml:space="preserve">直接子项数严格大于阈值的目录数（直接子项 </t>
    </r>
    <r>
      <rPr>
        <sz val="10"/>
        <color rgb="FF1F2933"/>
        <rFont val="微软雅黑"/>
        <charset val="1"/>
      </rPr>
      <t xml:space="preserve">= </t>
    </r>
    <r>
      <rPr>
        <sz val="10"/>
        <color rgb="FF1F2933"/>
        <rFont val="Noto Sans CJK SC"/>
        <charset val="134"/>
      </rPr>
      <t xml:space="preserve">直接子目录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 xml:space="preserve">该目录下所有类型的文件，不只 </t>
    </r>
    <r>
      <rPr>
        <sz val="10"/>
        <color rgb="FF1F2933"/>
        <rFont val="微软雅黑"/>
        <charset val="1"/>
      </rPr>
      <t>.rs</t>
    </r>
    <r>
      <rPr>
        <sz val="10"/>
        <color rgb="FF1F2933"/>
        <rFont val="Noto Sans CJK SC"/>
        <charset val="134"/>
      </rPr>
      <t>）</t>
    </r>
  </si>
  <si>
    <t>扫描到的目录数</t>
  </si>
  <si>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 / 60</t>
    </r>
    <r>
      <rPr>
        <sz val="10"/>
        <color rgb="FF1F2933"/>
        <rFont val="Noto Sans CJK SC"/>
        <charset val="134"/>
      </rPr>
      <t>）</t>
    </r>
  </si>
  <si>
    <t>不适用</t>
  </si>
  <si>
    <t>文件级可维护规则遵从度</t>
  </si>
  <si>
    <r>
      <rPr>
        <sz val="10"/>
        <color rgb="FF1F2933"/>
        <rFont val="Noto Sans CJK SC"/>
        <charset val="134"/>
      </rPr>
      <t xml:space="preserve">质量维度是规则的分组：知道命中了哪条规则，就知道哪些维度不达标。文件级的可维护、可读、可测试三项涉及的规则完全相同，本项与可读、可测试同值（工作区实测 </t>
    </r>
    <r>
      <rPr>
        <sz val="10"/>
        <color rgb="FF1F2933"/>
        <rFont val="微软雅黑"/>
        <charset val="1"/>
      </rPr>
      <t>87 / 110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</si>
  <si>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rules.conformity.maintainability</t>
  </si>
  <si>
    <t>解析成功且没有命中任何相关规则的文件数</t>
  </si>
  <si>
    <r>
      <rPr>
        <sz val="10"/>
        <color rgb="FF1F2933"/>
        <rFont val="Noto Sans CJK SC"/>
        <charset val="134"/>
      </rPr>
      <t>纳入统计的文件数（</t>
    </r>
    <r>
      <rPr>
        <sz val="10"/>
        <color rgb="FF1F2933"/>
        <rFont val="微软雅黑"/>
        <charset val="1"/>
      </rPr>
      <t xml:space="preserve">unknown_policy = exclude </t>
    </r>
    <r>
      <rPr>
        <sz val="10"/>
        <color rgb="FF1F2933"/>
        <rFont val="Noto Sans CJK SC"/>
        <charset val="134"/>
      </rPr>
      <t>时只算解析成功的文件）</t>
    </r>
  </si>
  <si>
    <r>
      <rPr>
        <sz val="10"/>
        <color rgb="FF1F2933"/>
        <rFont val="微软雅黑"/>
        <charset val="1"/>
      </rPr>
      <t>79.1%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87 / 110</t>
    </r>
    <r>
      <rPr>
        <sz val="10"/>
        <color rgb="FF1F2933"/>
        <rFont val="Noto Sans CJK SC"/>
        <charset val="134"/>
      </rPr>
      <t>）</t>
    </r>
  </si>
  <si>
    <t>文件级可读规则遵从度</t>
  </si>
  <si>
    <r>
      <rPr>
        <sz val="10"/>
        <color rgb="FF1F2933"/>
        <rFont val="Noto Sans CJK SC"/>
        <charset val="134"/>
      </rPr>
      <t xml:space="preserve">质量维度是规则的分组：知道命中了哪条规则，就知道哪些维度不达标。文件级的可维护、可读、可测试三项涉及的规则完全相同，本项与可维护、可测试同值（工作区实测 </t>
    </r>
    <r>
      <rPr>
        <sz val="10"/>
        <color rgb="FF1F2933"/>
        <rFont val="微软雅黑"/>
        <charset val="1"/>
      </rPr>
      <t>87 / 110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</si>
  <si>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rules.conformity.readability</t>
  </si>
  <si>
    <t>文件级可靠规则遵从度</t>
  </si>
  <si>
    <r>
      <rPr>
        <sz val="10"/>
        <color rgb="FF1F2933"/>
        <rFont val="Noto Sans CJK SC"/>
        <charset val="134"/>
      </rPr>
      <t xml:space="preserve">质量维度是规则的分组：知道命中了哪条规则，就知道哪些维度不达标。文件级的安全、可靠两项涉及的规则完全相同，本项与安全同值（工作区实测 </t>
    </r>
    <r>
      <rPr>
        <sz val="10"/>
        <color rgb="FF1F2933"/>
        <rFont val="微软雅黑"/>
        <charset val="1"/>
      </rPr>
      <t>107 / 110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</si>
  <si>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rules.conformity.reliability</t>
  </si>
  <si>
    <r>
      <rPr>
        <sz val="10"/>
        <color rgb="FF1F2933"/>
        <rFont val="微软雅黑"/>
        <charset val="1"/>
      </rPr>
      <t>97.3%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107 / 110</t>
    </r>
    <r>
      <rPr>
        <sz val="10"/>
        <color rgb="FF1F2933"/>
        <rFont val="Noto Sans CJK SC"/>
        <charset val="134"/>
      </rPr>
      <t>）</t>
    </r>
  </si>
  <si>
    <t>文件级安全规则遵从度</t>
  </si>
  <si>
    <r>
      <rPr>
        <sz val="10"/>
        <color rgb="FF1F2933"/>
        <rFont val="Noto Sans CJK SC"/>
        <charset val="134"/>
      </rPr>
      <t xml:space="preserve">质量维度是规则的分组：知道命中了哪条规则，就知道哪些维度不达标。文件级的安全、可靠两项涉及的规则完全相同，本项与可靠同值（工作区实测 </t>
    </r>
    <r>
      <rPr>
        <sz val="10"/>
        <color rgb="FF1F2933"/>
        <rFont val="微软雅黑"/>
        <charset val="1"/>
      </rPr>
      <t>107 / 110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</si>
  <si>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rules.conformity.security</t>
  </si>
  <si>
    <t>文件级可测试规则遵从度</t>
  </si>
  <si>
    <r>
      <rPr>
        <sz val="10"/>
        <color rgb="FF1F2933"/>
        <rFont val="Noto Sans CJK SC"/>
        <charset val="134"/>
      </rPr>
      <t xml:space="preserve">质量维度是规则的分组：知道命中了哪条规则，就知道哪些维度不达标。文件级的可维护、可读、可测试三项涉及的规则完全相同，本项与可维护、可读同值（工作区实测 </t>
    </r>
    <r>
      <rPr>
        <sz val="10"/>
        <color rgb="FF1F2933"/>
        <rFont val="微软雅黑"/>
        <charset val="1"/>
      </rPr>
      <t>87 / 110</t>
    </r>
    <r>
      <rPr>
        <sz val="10"/>
        <color rgb="FF1F2933"/>
        <rFont val="Noto Sans CJK SC"/>
        <charset val="134"/>
      </rPr>
      <t>），五个维度实际只有两个不同的值。门禁栏的「问题按规则分布」比它更细，这里不再重复。</t>
    </r>
  </si>
  <si>
    <t>rules.conformity.testability</t>
  </si>
  <si>
    <t>文件级可维护规则覆盖率</t>
  </si>
  <si>
    <r>
      <rPr>
        <sz val="10"/>
        <color rgb="FF1F2933"/>
        <rFont val="Noto Sans CJK SC"/>
        <charset val="134"/>
      </rPr>
      <t xml:space="preserve">文件级覆盖率 </t>
    </r>
    <r>
      <rPr>
        <sz val="10"/>
        <color rgb="FF1F2933"/>
        <rFont val="微软雅黑"/>
        <charset val="1"/>
      </rPr>
      <t xml:space="preserve">= </t>
    </r>
    <r>
      <rPr>
        <sz val="10"/>
        <color rgb="FF1F2933"/>
        <rFont val="Noto Sans CJK SC"/>
        <charset val="134"/>
      </rPr>
      <t xml:space="preserve">成功解析的文件占比。公式里没有「质量维度」参数，所以文件级的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项（总体 </t>
    </r>
    <r>
      <rPr>
        <sz val="10"/>
        <color rgb="FF1F2933"/>
        <rFont val="微软雅黑"/>
        <charset val="1"/>
      </rPr>
      <t xml:space="preserve">+ 5 </t>
    </r>
    <r>
      <rPr>
        <sz val="10"/>
        <color rgb="FF1F2933"/>
        <rFont val="Noto Sans CJK SC"/>
        <charset val="134"/>
      </rPr>
      <t xml:space="preserve">个维度）取值恒等，本项与其余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项同值（工作区实测 </t>
    </r>
    <r>
      <rPr>
        <sz val="10"/>
        <color rgb="FF1F2933"/>
        <rFont val="微软雅黑"/>
        <charset val="1"/>
      </rPr>
      <t>110 / 110</t>
    </r>
    <r>
      <rPr>
        <sz val="10"/>
        <color rgb="FF1F2933"/>
        <rFont val="Noto Sans CJK SC"/>
        <charset val="134"/>
      </rPr>
      <t xml:space="preserve">，即 </t>
    </r>
    <r>
      <rPr>
        <sz val="10"/>
        <color rgb="FF1F2933"/>
        <rFont val="微软雅黑"/>
        <charset val="1"/>
      </rPr>
      <t>100%</t>
    </r>
    <r>
      <rPr>
        <sz val="10"/>
        <color rgb="FF1F2933"/>
        <rFont val="Noto Sans CJK SC"/>
        <charset val="134"/>
      </rPr>
      <t xml:space="preserve">）。它只有在文件解析失败时才会变，而解析失败已经由分析状态「降级」和 </t>
    </r>
    <r>
      <rPr>
        <sz val="10"/>
        <color rgb="FF1F2933"/>
        <rFont val="微软雅黑"/>
        <charset val="1"/>
      </rPr>
      <t xml:space="preserve">BM201 </t>
    </r>
    <r>
      <rPr>
        <sz val="10"/>
        <color rgb="FF1F2933"/>
        <rFont val="Noto Sans CJK SC"/>
        <charset val="134"/>
      </rPr>
      <t>语法错误诊断表达（</t>
    </r>
    <r>
      <rPr>
        <sz val="10"/>
        <color rgb="FF1F2933"/>
        <rFont val="微软雅黑"/>
        <charset val="1"/>
      </rPr>
      <t xml:space="preserve">rust-analyzer </t>
    </r>
    <r>
      <rPr>
        <sz val="10"/>
        <color rgb="FF1F2933"/>
        <rFont val="Noto Sans CJK SC"/>
        <charset val="134"/>
      </rPr>
      <t>也会报语法错误），不需要再占一个展示位。</t>
    </r>
  </si>
  <si>
    <t>rules.coverage.maintainability</t>
  </si>
  <si>
    <r>
      <rPr>
        <sz val="10"/>
        <color rgb="FF1F2933"/>
        <rFont val="微软雅黑"/>
        <charset val="1"/>
      </rPr>
      <t xml:space="preserve">syn </t>
    </r>
    <r>
      <rPr>
        <sz val="10"/>
        <color rgb="FF1F2933"/>
        <rFont val="Noto Sans CJK SC"/>
        <charset val="134"/>
      </rPr>
      <t>解析成功的文件数</t>
    </r>
  </si>
  <si>
    <r>
      <rPr>
        <sz val="10"/>
        <color rgb="FF1F2933"/>
        <rFont val="Noto Sans CJK SC"/>
        <charset val="134"/>
      </rPr>
      <t xml:space="preserve">纳入统计的文件数（与 </t>
    </r>
    <r>
      <rPr>
        <sz val="10"/>
        <color rgb="FF1F2933"/>
        <rFont val="微软雅黑"/>
        <charset val="1"/>
      </rPr>
      <t xml:space="preserve">unknown_policy </t>
    </r>
    <r>
      <rPr>
        <sz val="10"/>
        <color rgb="FF1F2933"/>
        <rFont val="Noto Sans CJK SC"/>
        <charset val="134"/>
      </rPr>
      <t>无关）</t>
    </r>
  </si>
  <si>
    <r>
      <rPr>
        <sz val="10"/>
        <color rgb="FF1F2933"/>
        <rFont val="微软雅黑"/>
        <charset val="1"/>
      </rPr>
      <t>100.0%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110 / 110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</si>
  <si>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100.0%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 / 1</t>
    </r>
    <r>
      <rPr>
        <sz val="10"/>
        <color rgb="FF1F2933"/>
        <rFont val="Noto Sans CJK SC"/>
        <charset val="134"/>
      </rPr>
      <t>）</t>
    </r>
  </si>
  <si>
    <t>文件级可读规则覆盖率</t>
  </si>
  <si>
    <t>rules.coverage.readability</t>
  </si>
  <si>
    <t>文件级可靠规则覆盖率</t>
  </si>
  <si>
    <t>rules.coverage.reliability</t>
  </si>
  <si>
    <t>文件级安全规则覆盖率</t>
  </si>
  <si>
    <t>rules.coverage.security</t>
  </si>
  <si>
    <t>文件级可测试规则覆盖率</t>
  </si>
  <si>
    <t>rules.coverage.testability</t>
  </si>
  <si>
    <t>文件级总体规则覆盖率</t>
  </si>
  <si>
    <t>rules.coverage.total</t>
  </si>
  <si>
    <t>文件级总体规则遵从度</t>
  </si>
  <si>
    <t>rules.conformity.total</t>
  </si>
  <si>
    <r>
      <rPr>
        <sz val="10"/>
        <color rgb="FF1F2933"/>
        <rFont val="微软雅黑"/>
        <charset val="1"/>
      </rPr>
      <t>77.3%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85 / 110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</si>
  <si>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唯一的绝对规模数：其他指标都是比例或平均值，只有它说明工程有多大；质量目标 </t>
    </r>
    <r>
      <rPr>
        <sz val="10"/>
        <color rgb="FF1F2933"/>
        <rFont val="微软雅黑"/>
        <charset val="1"/>
      </rPr>
      <t>max_code_size_growth_ratio</t>
    </r>
    <r>
      <rPr>
        <sz val="10"/>
        <color rgb="FF1F2933"/>
        <rFont val="Noto Sans CJK SC"/>
        <charset val="134"/>
      </rPr>
      <t xml:space="preserve">（规模增长率）也以它为基础。按光标处取值时就是该函数的有效行数，与 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 xml:space="preserve">「函数过长」报的行数同一口径（实测 </t>
    </r>
    <r>
      <rPr>
        <sz val="10"/>
        <color rgb="FF1F2933"/>
        <rFont val="微软雅黑"/>
        <charset val="1"/>
      </rPr>
      <t xml:space="preserve">185 </t>
    </r>
    <r>
      <rPr>
        <sz val="10"/>
        <color rgb="FF1F2933"/>
        <rFont val="Noto Sans CJK SC"/>
        <charset val="134"/>
      </rPr>
      <t xml:space="preserve">行）；但函数提示不再逐函数取这个值，超限函数的行数直接取自 </t>
    </r>
    <r>
      <rPr>
        <sz val="10"/>
        <color rgb="FF1F2933"/>
        <rFont val="微软雅黑"/>
        <charset val="1"/>
      </rPr>
      <t xml:space="preserve">BM001 </t>
    </r>
    <r>
      <rPr>
        <sz val="10"/>
        <color rgb="FF1F2933"/>
        <rFont val="Noto Sans CJK SC"/>
        <charset val="134"/>
      </rPr>
      <t>条目文本。</t>
    </r>
  </si>
  <si>
    <r>
      <rPr>
        <sz val="10"/>
        <color rgb="FF1F2933"/>
        <rFont val="微软雅黑"/>
        <charset val="1"/>
      </rPr>
      <t>max_code_size_growth_ratio</t>
    </r>
    <r>
      <rPr>
        <sz val="10"/>
        <color rgb="FF1F2933"/>
        <rFont val="Noto Sans CJK SC"/>
        <charset val="134"/>
      </rPr>
      <t xml:space="preserve">（增长 ≤ </t>
    </r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）</t>
    </r>
  </si>
  <si>
    <t>增长率目标需要传入基线才能计算，缺基线时门禁记为「不完整」。</t>
  </si>
  <si>
    <t>size.nbnc_lines</t>
  </si>
  <si>
    <r>
      <rPr>
        <sz val="10"/>
        <color rgb="FF1F2933"/>
        <rFont val="Noto Sans CJK SC"/>
        <charset val="134"/>
      </rPr>
      <t xml:space="preserve">所有纳入文件的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 xml:space="preserve">行数之和（空行与纯注释行不计，代码带尾注释的行计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行）</t>
    </r>
  </si>
  <si>
    <r>
      <rPr>
        <sz val="10"/>
        <color rgb="FF1F2933"/>
        <rFont val="Noto Sans CJK SC"/>
        <charset val="134"/>
      </rPr>
      <t>—（绝对值，</t>
    </r>
    <r>
      <rPr>
        <sz val="10"/>
        <color rgb="FF1F2933"/>
        <rFont val="微软雅黑"/>
        <charset val="1"/>
      </rPr>
      <t>unit=lines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</si>
  <si>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40,756 </t>
    </r>
    <r>
      <rPr>
        <sz val="10"/>
        <color rgb="FF1F2933"/>
        <rFont val="Noto Sans CJK SC"/>
        <charset val="134"/>
      </rPr>
      <t>行</t>
    </r>
  </si>
  <si>
    <r>
      <rPr>
        <sz val="10"/>
        <color rgb="FF1F2933"/>
        <rFont val="微软雅黑"/>
        <charset val="1"/>
      </rPr>
      <t xml:space="preserve">185 </t>
    </r>
    <r>
      <rPr>
        <sz val="10"/>
        <color rgb="FF1F2933"/>
        <rFont val="Noto Sans CJK SC"/>
        <charset val="134"/>
      </rPr>
      <t>行</t>
    </r>
  </si>
  <si>
    <r>
      <rPr>
        <sz val="10"/>
        <color rgb="FF1F2933"/>
        <rFont val="Noto Sans CJK SC"/>
        <charset val="134"/>
      </rPr>
      <t xml:space="preserve">对应规则 </t>
    </r>
    <r>
      <rPr>
        <sz val="10"/>
        <color rgb="FF1F2933"/>
        <rFont val="微软雅黑"/>
        <charset val="1"/>
      </rPr>
      <t>BM006</t>
    </r>
    <r>
      <rPr>
        <sz val="10"/>
        <color rgb="FF1F2933"/>
        <rFont val="Noto Sans CJK SC"/>
        <charset val="134"/>
      </rPr>
      <t xml:space="preserve">「重复代码块」，并被质量目标 </t>
    </r>
    <r>
      <rPr>
        <sz val="10"/>
        <color rgb="FF1F2933"/>
        <rFont val="微软雅黑"/>
        <charset val="1"/>
      </rPr>
      <t>max_code_duplication_ratio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10%</t>
    </r>
    <r>
      <rPr>
        <sz val="10"/>
        <color rgb="FF1F2933"/>
        <rFont val="Noto Sans CJK SC"/>
        <charset val="134"/>
      </rPr>
      <t xml:space="preserve">）考核，实测 </t>
    </r>
    <r>
      <rPr>
        <sz val="10"/>
        <color rgb="FF1F2933"/>
        <rFont val="微软雅黑"/>
        <charset val="1"/>
      </rPr>
      <t>5.53%</t>
    </r>
    <r>
      <rPr>
        <sz val="10"/>
        <color rgb="FF1F2933"/>
        <rFont val="Noto Sans CJK SC"/>
        <charset val="134"/>
      </rPr>
      <t>，达标。</t>
    </r>
  </si>
  <si>
    <t>BM006</t>
  </si>
  <si>
    <r>
      <rPr>
        <sz val="10"/>
        <color rgb="FF1F2933"/>
        <rFont val="微软雅黑"/>
        <charset val="1"/>
      </rPr>
      <t>max_code_duplication_ratio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10%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</si>
  <si>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>跨文件的重复只有分析整个工作区才能发现，所以只在工作区面板和门禁栏展示。</t>
    </r>
    <r>
      <rPr>
        <sz val="10"/>
        <color rgb="FF1F2933"/>
        <rFont val="微软雅黑"/>
        <charset val="1"/>
      </rPr>
      <t xml:space="preserve">BM006 </t>
    </r>
    <r>
      <rPr>
        <sz val="10"/>
        <color rgb="FF1F2933"/>
        <rFont val="Noto Sans CJK SC"/>
        <charset val="134"/>
      </rPr>
      <t>诊断默认关闭，需先打开重复发现开关。</t>
    </r>
  </si>
  <si>
    <t>duplication.code_ratio</t>
  </si>
  <si>
    <r>
      <rPr>
        <sz val="10"/>
        <color rgb="FF1F2933"/>
        <rFont val="Noto Sans CJK SC"/>
        <charset val="134"/>
      </rPr>
      <t xml:space="preserve">相同片段超过 </t>
    </r>
    <r>
      <rPr>
        <sz val="10"/>
        <color rgb="FF1F2933"/>
        <rFont val="微软雅黑"/>
        <charset val="1"/>
      </rPr>
      <t xml:space="preserve">10 </t>
    </r>
    <r>
      <rPr>
        <sz val="10"/>
        <color rgb="FF1F2933"/>
        <rFont val="Noto Sans CJK SC"/>
        <charset val="134"/>
      </rPr>
      <t xml:space="preserve">行才算重复（质量目标 ≤ </t>
    </r>
    <r>
      <rPr>
        <sz val="10"/>
        <color rgb="FF1F2933"/>
        <rFont val="微软雅黑"/>
        <charset val="1"/>
      </rPr>
      <t>10%</t>
    </r>
    <r>
      <rPr>
        <sz val="10"/>
        <color rgb="FF1F2933"/>
        <rFont val="Noto Sans CJK SC"/>
        <charset val="134"/>
      </rPr>
      <t>）</t>
    </r>
  </si>
  <si>
    <t>参与重复的行数（按源码行去重，跨文件与同文件的不重叠位置都算）</t>
  </si>
  <si>
    <r>
      <rPr>
        <sz val="10"/>
        <color rgb="FF1F2933"/>
        <rFont val="Noto Sans CJK SC"/>
        <charset val="134"/>
      </rPr>
      <t xml:space="preserve">含代码 </t>
    </r>
    <r>
      <rPr>
        <sz val="10"/>
        <color rgb="FF1F2933"/>
        <rFont val="微软雅黑"/>
        <charset val="1"/>
      </rPr>
      <t xml:space="preserve">token </t>
    </r>
    <r>
      <rPr>
        <sz val="10"/>
        <color rgb="FF1F2933"/>
        <rFont val="Noto Sans CJK SC"/>
        <charset val="134"/>
      </rPr>
      <t xml:space="preserve">文本的行数（与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 xml:space="preserve">基本一致，但多行字符串里的空行计入 </t>
    </r>
    <r>
      <rPr>
        <sz val="10"/>
        <color rgb="FF1F2933"/>
        <rFont val="微软雅黑"/>
        <charset val="1"/>
      </rPr>
      <t>NBNC</t>
    </r>
    <r>
      <rPr>
        <sz val="10"/>
        <color rgb="FF1F2933"/>
        <rFont val="Noto Sans CJK SC"/>
        <charset val="134"/>
      </rPr>
      <t>、不计入这里；</t>
    </r>
    <r>
      <rPr>
        <sz val="10"/>
        <color rgb="FF1F2933"/>
        <rFont val="微软雅黑"/>
        <charset val="1"/>
      </rPr>
      <t xml:space="preserve">rg </t>
    </r>
    <r>
      <rPr>
        <sz val="10"/>
        <color rgb="FF1F2933"/>
        <rFont val="Noto Sans CJK SC"/>
        <charset val="134"/>
      </rPr>
      <t xml:space="preserve">实测 </t>
    </r>
    <r>
      <rPr>
        <sz val="10"/>
        <color rgb="FF1F2933"/>
        <rFont val="微软雅黑"/>
        <charset val="1"/>
      </rPr>
      <t>40,689 vs NBNC 40,756</t>
    </r>
    <r>
      <rPr>
        <sz val="10"/>
        <color rgb="FF1F2933"/>
        <rFont val="Noto Sans CJK SC"/>
        <charset val="134"/>
      </rPr>
      <t>）；</t>
    </r>
    <r>
      <rPr>
        <sz val="10"/>
        <color rgb="FF1F2933"/>
        <rFont val="微软雅黑"/>
        <charset val="1"/>
      </rPr>
      <t xml:space="preserve">item </t>
    </r>
    <r>
      <rPr>
        <sz val="10"/>
        <color rgb="FF1F2933"/>
        <rFont val="Noto Sans CJK SC"/>
        <charset val="134"/>
      </rPr>
      <t xml:space="preserve">投影时分母改用所选 </t>
    </r>
    <r>
      <rPr>
        <sz val="10"/>
        <color rgb="FF1F2933"/>
        <rFont val="微软雅黑"/>
        <charset val="1"/>
      </rPr>
      <t xml:space="preserve">item </t>
    </r>
    <r>
      <rPr>
        <sz val="10"/>
        <color rgb="FF1F2933"/>
        <rFont val="Noto Sans CJK SC"/>
        <charset val="134"/>
      </rPr>
      <t xml:space="preserve">的 </t>
    </r>
    <r>
      <rPr>
        <sz val="10"/>
        <color rgb="FF1F2933"/>
        <rFont val="微软雅黑"/>
        <charset val="1"/>
      </rPr>
      <t>NBNC</t>
    </r>
  </si>
  <si>
    <r>
      <rPr>
        <sz val="10"/>
        <color rgb="FF1F2933"/>
        <rFont val="微软雅黑"/>
        <charset val="1"/>
      </rPr>
      <t>5.53%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2,249 / 40,689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</si>
  <si>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 / 1,104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</si>
  <si>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 / 185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</si>
  <si>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对应规则 </t>
    </r>
    <r>
      <rPr>
        <sz val="10"/>
        <color rgb="FF1F2933"/>
        <rFont val="微软雅黑"/>
        <charset val="1"/>
      </rPr>
      <t>BM007</t>
    </r>
    <r>
      <rPr>
        <sz val="10"/>
        <color rgb="FF1F2933"/>
        <rFont val="Noto Sans CJK SC"/>
        <charset val="134"/>
      </rPr>
      <t xml:space="preserve">「文件完全重复」，并被质量目标 </t>
    </r>
    <r>
      <rPr>
        <sz val="10"/>
        <color rgb="FF1F2933"/>
        <rFont val="微软雅黑"/>
        <charset val="1"/>
      </rPr>
      <t>max_file_duplication_ratio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4%</t>
    </r>
    <r>
      <rPr>
        <sz val="10"/>
        <color rgb="FF1F2933"/>
        <rFont val="Noto Sans CJK SC"/>
        <charset val="134"/>
      </rPr>
      <t xml:space="preserve">）考核，实测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。</t>
    </r>
  </si>
  <si>
    <t>BM007</t>
  </si>
  <si>
    <r>
      <rPr>
        <sz val="10"/>
        <color rgb="FF1F2933"/>
        <rFont val="微软雅黑"/>
        <charset val="1"/>
      </rPr>
      <t>max_file_duplication_ratio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4%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</si>
  <si>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>单文件范围内不可能出现重复组，所以只在工作区面板和门禁栏展示。</t>
    </r>
    <r>
      <rPr>
        <sz val="10"/>
        <color rgb="FF1F2933"/>
        <rFont val="微软雅黑"/>
        <charset val="1"/>
      </rPr>
      <t xml:space="preserve">BM007 </t>
    </r>
    <r>
      <rPr>
        <sz val="10"/>
        <color rgb="FF1F2933"/>
        <rFont val="Noto Sans CJK SC"/>
        <charset val="134"/>
      </rPr>
      <t>诊断同样默认关闭。</t>
    </r>
  </si>
  <si>
    <t>duplication.file_exact_ratio</t>
  </si>
  <si>
    <r>
      <rPr>
        <sz val="10"/>
        <color rgb="FF1F2933"/>
        <rFont val="Noto Sans CJK SC"/>
        <charset val="134"/>
      </rPr>
      <t xml:space="preserve">内容 </t>
    </r>
    <r>
      <rPr>
        <sz val="10"/>
        <color rgb="FF1F2933"/>
        <rFont val="微软雅黑"/>
        <charset val="1"/>
      </rPr>
      <t xml:space="preserve">md5 </t>
    </r>
    <r>
      <rPr>
        <sz val="10"/>
        <color rgb="FF1F2933"/>
        <rFont val="Noto Sans CJK SC"/>
        <charset val="134"/>
      </rPr>
      <t xml:space="preserve">相同的文件算重复（质量目标 ≤ </t>
    </r>
    <r>
      <rPr>
        <sz val="10"/>
        <color rgb="FF1F2933"/>
        <rFont val="微软雅黑"/>
        <charset val="1"/>
      </rPr>
      <t>4%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</si>
  <si>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>属于重复组的文件数（</t>
    </r>
    <r>
      <rPr>
        <sz val="10"/>
        <color rgb="FF1F2933"/>
        <rFont val="微软雅黑"/>
        <charset val="1"/>
      </rPr>
      <t xml:space="preserve">3 </t>
    </r>
    <r>
      <rPr>
        <sz val="10"/>
        <color rgb="FF1F2933"/>
        <rFont val="Noto Sans CJK SC"/>
        <charset val="134"/>
      </rPr>
      <t xml:space="preserve">个内容相同的文件记 </t>
    </r>
    <r>
      <rPr>
        <sz val="10"/>
        <color rgb="FF1F2933"/>
        <rFont val="微软雅黑"/>
        <charset val="1"/>
      </rPr>
      <t>3</t>
    </r>
    <r>
      <rPr>
        <sz val="10"/>
        <color rgb="FF1F2933"/>
        <rFont val="Noto Sans CJK SC"/>
        <charset val="134"/>
      </rPr>
      <t xml:space="preserve">，不是 </t>
    </r>
    <r>
      <rPr>
        <sz val="10"/>
        <color rgb="FF1F2933"/>
        <rFont val="微软雅黑"/>
        <charset val="1"/>
      </rPr>
      <t>2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</si>
  <si>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 / 110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</si>
  <si>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对应规则 </t>
    </r>
    <r>
      <rPr>
        <sz val="10"/>
        <color rgb="FF1F2933"/>
        <rFont val="微软雅黑"/>
        <charset val="1"/>
      </rPr>
      <t>BM002</t>
    </r>
    <r>
      <rPr>
        <sz val="10"/>
        <color rgb="FF1F2933"/>
        <rFont val="Noto Sans CJK SC"/>
        <charset val="134"/>
      </rPr>
      <t>「</t>
    </r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 xml:space="preserve">使用」，并被质量目标 </t>
    </r>
    <r>
      <rPr>
        <sz val="10"/>
        <color rgb="FF1F2933"/>
        <rFont val="微软雅黑"/>
        <charset val="1"/>
      </rPr>
      <t>max_unsafe_density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10%</t>
    </r>
    <r>
      <rPr>
        <sz val="10"/>
        <color rgb="FF1F2933"/>
        <rFont val="Noto Sans CJK SC"/>
        <charset val="134"/>
      </rPr>
      <t xml:space="preserve">）考核，实测 </t>
    </r>
    <r>
      <rPr>
        <sz val="10"/>
        <color rgb="FF1F2933"/>
        <rFont val="微软雅黑"/>
        <charset val="1"/>
      </rPr>
      <t>0.022%</t>
    </r>
    <r>
      <rPr>
        <sz val="10"/>
        <color rgb="FF1F2933"/>
        <rFont val="Noto Sans CJK SC"/>
        <charset val="134"/>
      </rPr>
      <t xml:space="preserve">。每个 </t>
    </r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区域在诊断里都有精确位置，比例与位置可以互相印证。</t>
    </r>
  </si>
  <si>
    <t>BM002</t>
  </si>
  <si>
    <r>
      <rPr>
        <sz val="10"/>
        <color rgb="FF1F2933"/>
        <rFont val="微软雅黑"/>
        <charset val="1"/>
      </rPr>
      <t>max_unsafe_density</t>
    </r>
    <r>
      <rPr>
        <sz val="10"/>
        <color rgb="FF1F2933"/>
        <rFont val="Noto Sans CJK SC"/>
        <charset val="134"/>
      </rPr>
      <t xml:space="preserve">（≤ </t>
    </r>
    <r>
      <rPr>
        <sz val="10"/>
        <color rgb="FF1F2933"/>
        <rFont val="微软雅黑"/>
        <charset val="1"/>
      </rPr>
      <t>10%</t>
    </r>
    <r>
      <rPr>
        <sz val="10"/>
        <color rgb="FF1F2933"/>
        <rFont val="Noto Sans CJK SC"/>
        <charset val="134"/>
      </rPr>
      <t>）</t>
    </r>
  </si>
  <si>
    <t>safety.unsafe_density</t>
  </si>
  <si>
    <r>
      <rPr>
        <sz val="10"/>
        <color rgb="FF1F2933"/>
        <rFont val="Noto Sans CJK SC"/>
        <charset val="134"/>
      </rPr>
      <t xml:space="preserve">无阈值（质量目标 ≤ </t>
    </r>
    <r>
      <rPr>
        <sz val="10"/>
        <color rgb="FF1F2933"/>
        <rFont val="微软雅黑"/>
        <charset val="1"/>
      </rPr>
      <t>10%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</si>
  <si>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 xml:space="preserve">区域覆盖的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>行数（</t>
    </r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 xml:space="preserve">块、带函数体的 </t>
    </r>
    <r>
      <rPr>
        <sz val="10"/>
        <color rgb="FF1F2933"/>
        <rFont val="微软雅黑"/>
        <charset val="1"/>
      </rPr>
      <t>unsafe fn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unsafe trait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unsafe impl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unsafe extern </t>
    </r>
    <r>
      <rPr>
        <sz val="10"/>
        <color rgb="FF1F2933"/>
        <rFont val="Noto Sans CJK SC"/>
        <charset val="134"/>
      </rPr>
      <t>块；嵌套重叠只计一次）</t>
    </r>
  </si>
  <si>
    <r>
      <rPr>
        <sz val="10"/>
        <color rgb="FF1F2933"/>
        <rFont val="Noto Sans CJK SC"/>
        <charset val="134"/>
      </rPr>
      <t xml:space="preserve">全部 </t>
    </r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>行数</t>
    </r>
  </si>
  <si>
    <r>
      <rPr>
        <sz val="10"/>
        <color rgb="FF1F2933"/>
        <rFont val="微软雅黑"/>
        <charset val="1"/>
      </rPr>
      <t>0.022%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9 / 40,756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</si>
  <si>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0.090%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 / 1,107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</si>
  <si>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>0.54%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1 / 185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</si>
  <si>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过 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：不与任何已选指标重合。过 </t>
    </r>
    <r>
      <rPr>
        <sz val="10"/>
        <color rgb="FF1F2933"/>
        <rFont val="微软雅黑"/>
        <charset val="1"/>
      </rPr>
      <t>A2</t>
    </r>
    <r>
      <rPr>
        <sz val="10"/>
        <color rgb="FF1F2933"/>
        <rFont val="Noto Sans CJK SC"/>
        <charset val="134"/>
      </rPr>
      <t xml:space="preserve">：删掉被注释掉的代码，方向明确。过 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：尺度有效。没有对应规则或质量目标，也没有具体位置，只作参考值。</t>
    </r>
  </si>
  <si>
    <r>
      <rPr>
        <sz val="10"/>
        <color rgb="FF1F2933"/>
        <rFont val="Noto Sans CJK SC"/>
        <charset val="134"/>
      </rPr>
      <t xml:space="preserve">读数请取报告里的 </t>
    </r>
    <r>
      <rPr>
        <sz val="10"/>
        <color rgb="FF1F2933"/>
        <rFont val="微软雅黑"/>
        <charset val="1"/>
      </rPr>
      <t xml:space="preserve">value </t>
    </r>
    <r>
      <rPr>
        <sz val="10"/>
        <color rgb="FF1F2933"/>
        <rFont val="Noto Sans CJK SC"/>
        <charset val="134"/>
      </rPr>
      <t xml:space="preserve">字段：分母以千行计，自己用分子分母换算会差 </t>
    </r>
    <r>
      <rPr>
        <sz val="10"/>
        <color rgb="FF1F2933"/>
        <rFont val="微软雅黑"/>
        <charset val="1"/>
      </rPr>
      <t xml:space="preserve">1000 </t>
    </r>
    <r>
      <rPr>
        <sz val="10"/>
        <color rgb="FF1F2933"/>
        <rFont val="Noto Sans CJK SC"/>
        <charset val="134"/>
      </rPr>
      <t>倍。</t>
    </r>
  </si>
  <si>
    <t>redundancy.commented_code_density</t>
  </si>
  <si>
    <r>
      <rPr>
        <sz val="10"/>
        <color rgb="FF1F2933"/>
        <rFont val="Noto Sans CJK SC"/>
        <charset val="134"/>
      </rPr>
      <t xml:space="preserve">能被 </t>
    </r>
    <r>
      <rPr>
        <sz val="10"/>
        <color rgb="FF1F2933"/>
        <rFont val="微软雅黑"/>
        <charset val="1"/>
      </rPr>
      <t xml:space="preserve">syn </t>
    </r>
    <r>
      <rPr>
        <sz val="10"/>
        <color rgb="FF1F2933"/>
        <rFont val="Noto Sans CJK SC"/>
        <charset val="134"/>
      </rPr>
      <t xml:space="preserve">完整解析且含真实 </t>
    </r>
    <r>
      <rPr>
        <sz val="10"/>
        <color rgb="FF1F2933"/>
        <rFont val="微软雅黑"/>
        <charset val="1"/>
      </rPr>
      <t xml:space="preserve">item / </t>
    </r>
    <r>
      <rPr>
        <sz val="10"/>
        <color rgb="FF1F2933"/>
        <rFont val="Noto Sans CJK SC"/>
        <charset val="134"/>
      </rPr>
      <t xml:space="preserve">语句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表达式结构的注释块数</t>
    </r>
  </si>
  <si>
    <r>
      <rPr>
        <sz val="10"/>
        <color rgb="FF1F2933"/>
        <rFont val="微软雅黑"/>
        <charset val="1"/>
      </rPr>
      <t xml:space="preserve">NBNC </t>
    </r>
    <r>
      <rPr>
        <sz val="10"/>
        <color rgb="FF1F2933"/>
        <rFont val="Noto Sans CJK SC"/>
        <charset val="134"/>
      </rPr>
      <t xml:space="preserve">行数 </t>
    </r>
    <r>
      <rPr>
        <sz val="10"/>
        <color rgb="FF1F2933"/>
        <rFont val="微软雅黑"/>
        <charset val="1"/>
      </rPr>
      <t>÷ 1000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KLOC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</si>
  <si>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0.098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千行（</t>
    </r>
    <r>
      <rPr>
        <sz val="10"/>
        <color rgb="FF1F2933"/>
        <rFont val="微软雅黑"/>
        <charset val="1"/>
      </rPr>
      <t xml:space="preserve">4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÷ 40.76 </t>
    </r>
    <r>
      <rPr>
        <sz val="10"/>
        <color rgb="FF1F2933"/>
        <rFont val="Noto Sans CJK SC"/>
        <charset val="134"/>
      </rPr>
      <t>千行）</t>
    </r>
  </si>
  <si>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千行（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÷ 1.107 </t>
    </r>
    <r>
      <rPr>
        <sz val="10"/>
        <color rgb="FF1F2933"/>
        <rFont val="Noto Sans CJK SC"/>
        <charset val="134"/>
      </rPr>
      <t>千行）</t>
    </r>
  </si>
  <si>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千行（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÷ 185 </t>
    </r>
    <r>
      <rPr>
        <sz val="10"/>
        <color rgb="FF1F2933"/>
        <rFont val="Noto Sans CJK SC"/>
        <charset val="134"/>
      </rPr>
      <t>千行）</t>
    </r>
  </si>
  <si>
    <t>项目级总体规则覆盖率</t>
  </si>
  <si>
    <r>
      <rPr>
        <sz val="10"/>
        <color rgb="FF1F2933"/>
        <rFont val="Noto Sans CJK SC"/>
        <charset val="134"/>
      </rPr>
      <t xml:space="preserve">项目级覆盖率 </t>
    </r>
    <r>
      <rPr>
        <sz val="10"/>
        <color rgb="FF1F2933"/>
        <rFont val="微软雅黑"/>
        <charset val="1"/>
      </rPr>
      <t xml:space="preserve">= </t>
    </r>
    <r>
      <rPr>
        <sz val="10"/>
        <color rgb="FF1F2933"/>
        <rFont val="Noto Sans CJK SC"/>
        <charset val="134"/>
      </rPr>
      <t xml:space="preserve">成功解析的分析范围占比（整个分析范围算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个单位）。公式里没有「质量维度」参数，所以项目级的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 xml:space="preserve">项（总体 </t>
    </r>
    <r>
      <rPr>
        <sz val="10"/>
        <color rgb="FF1F2933"/>
        <rFont val="微软雅黑"/>
        <charset val="1"/>
      </rPr>
      <t xml:space="preserve">+ 5 </t>
    </r>
    <r>
      <rPr>
        <sz val="10"/>
        <color rgb="FF1F2933"/>
        <rFont val="Noto Sans CJK SC"/>
        <charset val="134"/>
      </rPr>
      <t xml:space="preserve">个维度）取值恒等，本项与其余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项同值（工作区实测 </t>
    </r>
    <r>
      <rPr>
        <sz val="10"/>
        <color rgb="FF1F2933"/>
        <rFont val="微软雅黑"/>
        <charset val="1"/>
      </rPr>
      <t>1 / 1</t>
    </r>
    <r>
      <rPr>
        <sz val="10"/>
        <color rgb="FF1F2933"/>
        <rFont val="Noto Sans CJK SC"/>
        <charset val="134"/>
      </rPr>
      <t xml:space="preserve">，即 </t>
    </r>
    <r>
      <rPr>
        <sz val="10"/>
        <color rgb="FF1F2933"/>
        <rFont val="微软雅黑"/>
        <charset val="1"/>
      </rPr>
      <t>100%</t>
    </r>
    <r>
      <rPr>
        <sz val="10"/>
        <color rgb="FF1F2933"/>
        <rFont val="Noto Sans CJK SC"/>
        <charset val="134"/>
      </rPr>
      <t xml:space="preserve">）。它只有在文件解析失败时才会变，而解析失败已经由分析状态「降级」和 </t>
    </r>
    <r>
      <rPr>
        <sz val="10"/>
        <color rgb="FF1F2933"/>
        <rFont val="微软雅黑"/>
        <charset val="1"/>
      </rPr>
      <t xml:space="preserve">BM201 </t>
    </r>
    <r>
      <rPr>
        <sz val="10"/>
        <color rgb="FF1F2933"/>
        <rFont val="Noto Sans CJK SC"/>
        <charset val="134"/>
      </rPr>
      <t>语法错误诊断表达（</t>
    </r>
    <r>
      <rPr>
        <sz val="10"/>
        <color rgb="FF1F2933"/>
        <rFont val="微软雅黑"/>
        <charset val="1"/>
      </rPr>
      <t xml:space="preserve">rust-analyzer </t>
    </r>
    <r>
      <rPr>
        <sz val="10"/>
        <color rgb="FF1F2933"/>
        <rFont val="Noto Sans CJK SC"/>
        <charset val="134"/>
      </rPr>
      <t>也会报语法错误），不需要再占一个展示位。</t>
    </r>
  </si>
  <si>
    <t>本次分析组整体</t>
  </si>
  <si>
    <t>rules.coverage.project</t>
  </si>
  <si>
    <r>
      <rPr>
        <sz val="10"/>
        <color rgb="FF1F2933"/>
        <rFont val="Noto Sans CJK SC"/>
        <charset val="134"/>
      </rPr>
      <t xml:space="preserve">有文件且全部解析成功时为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，任一文件解析失败为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 xml:space="preserve">聚合时为满足条件的 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>数）</t>
    </r>
  </si>
  <si>
    <r>
      <rPr>
        <sz val="10"/>
        <color rgb="FF1F2933"/>
        <rFont val="Noto Sans CJK SC"/>
        <charset val="134"/>
      </rPr>
      <t xml:space="preserve">有文件时为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聚合）；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 xml:space="preserve">聚合时为 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>数</t>
    </r>
  </si>
  <si>
    <t>项目级可维护规则覆盖率</t>
  </si>
  <si>
    <t>rules.coverage.project.maintainability</t>
  </si>
  <si>
    <t>项目级可读规则覆盖率</t>
  </si>
  <si>
    <t>rules.coverage.project.readability</t>
  </si>
  <si>
    <t>项目级可靠规则覆盖率</t>
  </si>
  <si>
    <t>rules.coverage.project.reliability</t>
  </si>
  <si>
    <t>项目级安全规则覆盖率</t>
  </si>
  <si>
    <t>rules.coverage.project.security</t>
  </si>
  <si>
    <t>项目级可测试规则覆盖率</t>
  </si>
  <si>
    <t>rules.coverage.project.testability</t>
  </si>
  <si>
    <t>告警</t>
  </si>
  <si>
    <t>编译告警密度</t>
  </si>
  <si>
    <t>与编辑器里已有的编译告警重复，且依赖本机工具链</t>
  </si>
  <si>
    <r>
      <rPr>
        <sz val="10"/>
        <color rgb="FF1F2933"/>
        <rFont val="Noto Sans CJK SC"/>
        <charset val="134"/>
      </rPr>
      <t xml:space="preserve">统计 </t>
    </r>
    <r>
      <rPr>
        <sz val="10"/>
        <color rgb="FF1F2933"/>
        <rFont val="微软雅黑"/>
        <charset val="1"/>
      </rPr>
      <t xml:space="preserve">cargo check </t>
    </r>
    <r>
      <rPr>
        <sz val="10"/>
        <color rgb="FF1F2933"/>
        <rFont val="Noto Sans CJK SC"/>
        <charset val="134"/>
      </rPr>
      <t xml:space="preserve">或 </t>
    </r>
    <r>
      <rPr>
        <sz val="10"/>
        <color rgb="FF1F2933"/>
        <rFont val="微软雅黑"/>
        <charset val="1"/>
      </rPr>
      <t xml:space="preserve">rustc </t>
    </r>
    <r>
      <rPr>
        <sz val="10"/>
        <color rgb="FF1F2933"/>
        <rFont val="Noto Sans CJK SC"/>
        <charset val="134"/>
      </rPr>
      <t xml:space="preserve">输出的告警数，这些告警 </t>
    </r>
    <r>
      <rPr>
        <sz val="10"/>
        <color rgb="FF1F2933"/>
        <rFont val="微软雅黑"/>
        <charset val="1"/>
      </rPr>
      <t xml:space="preserve">rust-analyzer </t>
    </r>
    <r>
      <rPr>
        <sz val="10"/>
        <color rgb="FF1F2933"/>
        <rFont val="Noto Sans CJK SC"/>
        <charset val="134"/>
      </rPr>
      <t xml:space="preserve">已经直接显示在编辑器里，不带新信息。另外它要求 </t>
    </r>
    <r>
      <rPr>
        <sz val="10"/>
        <color rgb="FF1F2933"/>
        <rFont val="微软雅黑"/>
        <charset val="1"/>
      </rPr>
      <t xml:space="preserve">bot-metric </t>
    </r>
    <r>
      <rPr>
        <sz val="10"/>
        <color rgb="FF1F2933"/>
        <rFont val="Noto Sans CJK SC"/>
        <charset val="134"/>
      </rPr>
      <t xml:space="preserve">调用 </t>
    </r>
    <r>
      <rPr>
        <sz val="10"/>
        <color rgb="FF1F2933"/>
        <rFont val="微软雅黑"/>
        <charset val="1"/>
      </rPr>
      <t>cargo check</t>
    </r>
    <r>
      <rPr>
        <sz val="10"/>
        <color rgb="FF1F2933"/>
        <rFont val="Noto Sans CJK SC"/>
        <charset val="134"/>
      </rPr>
      <t>，依赖本机工具链；该指标默认关闭，实测三个范围都是「不适用」。</t>
    </r>
  </si>
  <si>
    <t>diagnostic.compiler_warning_density</t>
  </si>
  <si>
    <t>无阈值；该指标默认关闭（实测为「不适用」）</t>
  </si>
  <si>
    <r>
      <rPr>
        <sz val="10"/>
        <color rgb="FF1F2933"/>
        <rFont val="微软雅黑"/>
        <charset val="1"/>
      </rPr>
      <t xml:space="preserve">cargo check </t>
    </r>
    <r>
      <rPr>
        <sz val="10"/>
        <color rgb="FF1F2933"/>
        <rFont val="Noto Sans CJK SC"/>
        <charset val="134"/>
      </rPr>
      <t xml:space="preserve">或 </t>
    </r>
    <r>
      <rPr>
        <sz val="10"/>
        <color rgb="FF1F2933"/>
        <rFont val="微软雅黑"/>
        <charset val="1"/>
      </rPr>
      <t xml:space="preserve">rustc </t>
    </r>
    <r>
      <rPr>
        <sz val="10"/>
        <color rgb="FF1F2933"/>
        <rFont val="Noto Sans CJK SC"/>
        <charset val="134"/>
      </rPr>
      <t xml:space="preserve">输出的 </t>
    </r>
    <r>
      <rPr>
        <sz val="10"/>
        <color rgb="FF1F2933"/>
        <rFont val="微软雅黑"/>
        <charset val="1"/>
      </rPr>
      <t xml:space="preserve">warning </t>
    </r>
    <r>
      <rPr>
        <sz val="10"/>
        <color rgb="FF1F2933"/>
        <rFont val="Noto Sans CJK SC"/>
        <charset val="134"/>
      </rPr>
      <t>数（能映射到已分析源码的；无位置的也计入）</t>
    </r>
  </si>
  <si>
    <t>静态告警密度</t>
  </si>
  <si>
    <t>分子就是已逐条列出的诊断，且范围越小数值越失真</t>
  </si>
  <si>
    <r>
      <rPr>
        <sz val="10"/>
        <color rgb="FF1F2933"/>
        <rFont val="Noto Sans CJK SC"/>
        <charset val="134"/>
      </rPr>
      <t xml:space="preserve">分子是 </t>
    </r>
    <r>
      <rPr>
        <sz val="10"/>
        <color rgb="FF1F2933"/>
        <rFont val="微软雅黑"/>
        <charset val="1"/>
      </rPr>
      <t>BM001~BM004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BM006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BM007 </t>
    </r>
    <r>
      <rPr>
        <sz val="10"/>
        <color rgb="FF1F2933"/>
        <rFont val="Noto Sans CJK SC"/>
        <charset val="134"/>
      </rPr>
      <t xml:space="preserve">的命中条数（用 </t>
    </r>
    <r>
      <rPr>
        <sz val="10"/>
        <color rgb="FF1F2933"/>
        <rFont val="微软雅黑"/>
        <charset val="1"/>
      </rPr>
      <t xml:space="preserve">clippy </t>
    </r>
    <r>
      <rPr>
        <sz val="10"/>
        <color rgb="FF1F2933"/>
        <rFont val="Noto Sans CJK SC"/>
        <charset val="134"/>
      </rPr>
      <t>时还含它的全部告警），这些在编辑器里已经逐条以诊断列出，比率本身不带新信息（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）。分母以千行计，范围越小越失真：工作区 </t>
    </r>
    <r>
      <rPr>
        <sz val="10"/>
        <color rgb="FF1F2933"/>
        <rFont val="微软雅黑"/>
        <charset val="1"/>
      </rPr>
      <t xml:space="preserve">1.25 </t>
    </r>
    <r>
      <rPr>
        <sz val="10"/>
        <color rgb="FF1F2933"/>
        <rFont val="Noto Sans CJK SC"/>
        <charset val="134"/>
      </rPr>
      <t>条</t>
    </r>
    <r>
      <rPr>
        <sz val="10"/>
        <color rgb="FF1F2933"/>
        <rFont val="微软雅黑"/>
        <charset val="1"/>
      </rPr>
      <t>/</t>
    </r>
    <r>
      <rPr>
        <sz val="10"/>
        <color rgb="FF1F2933"/>
        <rFont val="Noto Sans CJK SC"/>
        <charset val="134"/>
      </rPr>
      <t xml:space="preserve">千行，本文件 </t>
    </r>
    <r>
      <rPr>
        <sz val="10"/>
        <color rgb="FF1F2933"/>
        <rFont val="微软雅黑"/>
        <charset val="1"/>
      </rPr>
      <t>2.71</t>
    </r>
    <r>
      <rPr>
        <sz val="10"/>
        <color rgb="FF1F2933"/>
        <rFont val="Noto Sans CJK SC"/>
        <charset val="134"/>
      </rPr>
      <t xml:space="preserve">，按光标处取值升到 </t>
    </r>
    <r>
      <rPr>
        <sz val="10"/>
        <color rgb="FF1F2933"/>
        <rFont val="微软雅黑"/>
        <charset val="1"/>
      </rPr>
      <t>16.2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</t>
    </r>
  </si>
  <si>
    <t>diagnostic.static_warning_density</t>
  </si>
  <si>
    <t>无阈值；该指标默认启用</t>
  </si>
  <si>
    <r>
      <rPr>
        <sz val="10"/>
        <color rgb="FF1F2933"/>
        <rFont val="微软雅黑"/>
        <charset val="1"/>
      </rPr>
      <t xml:space="preserve">BM001–BM004 </t>
    </r>
    <r>
      <rPr>
        <sz val="10"/>
        <color rgb="FF1F2933"/>
        <rFont val="Noto Sans CJK SC"/>
        <charset val="134"/>
      </rPr>
      <t xml:space="preserve">条数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 xml:space="preserve">已输出的 </t>
    </r>
    <r>
      <rPr>
        <sz val="10"/>
        <color rgb="FF1F2933"/>
        <rFont val="微软雅黑"/>
        <charset val="1"/>
      </rPr>
      <t xml:space="preserve">BM006 / BM007 </t>
    </r>
    <r>
      <rPr>
        <sz val="10"/>
        <color rgb="FF1F2933"/>
        <rFont val="Noto Sans CJK SC"/>
        <charset val="134"/>
      </rPr>
      <t xml:space="preserve">条数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 xml:space="preserve">使用 </t>
    </r>
    <r>
      <rPr>
        <sz val="10"/>
        <color rgb="FF1F2933"/>
        <rFont val="微软雅黑"/>
        <charset val="1"/>
      </rPr>
      <t xml:space="preserve">clippy </t>
    </r>
    <r>
      <rPr>
        <sz val="10"/>
        <color rgb="FF1F2933"/>
        <rFont val="Noto Sans CJK SC"/>
        <charset val="134"/>
      </rPr>
      <t xml:space="preserve">提供者时其全部 </t>
    </r>
    <r>
      <rPr>
        <sz val="10"/>
        <color rgb="FF1F2933"/>
        <rFont val="微软雅黑"/>
        <charset val="1"/>
      </rPr>
      <t xml:space="preserve">warning </t>
    </r>
    <r>
      <rPr>
        <sz val="10"/>
        <color rgb="FF1F2933"/>
        <rFont val="Noto Sans CJK SC"/>
        <charset val="134"/>
      </rPr>
      <t xml:space="preserve">级诊断（含 </t>
    </r>
    <r>
      <rPr>
        <sz val="10"/>
        <color rgb="FF1F2933"/>
        <rFont val="微软雅黑"/>
        <charset val="1"/>
      </rPr>
      <t>rustc lint</t>
    </r>
    <r>
      <rPr>
        <sz val="10"/>
        <color rgb="FF1F2933"/>
        <rFont val="Noto Sans CJK SC"/>
        <charset val="134"/>
      </rPr>
      <t xml:space="preserve">）；不含 </t>
    </r>
    <r>
      <rPr>
        <sz val="10"/>
        <color rgb="FF1F2933"/>
        <rFont val="微软雅黑"/>
        <charset val="1"/>
      </rPr>
      <t>BM005</t>
    </r>
  </si>
  <si>
    <r>
      <rPr>
        <sz val="10"/>
        <color rgb="FF1F2933"/>
        <rFont val="微软雅黑"/>
        <charset val="1"/>
      </rPr>
      <t xml:space="preserve">1.25 </t>
    </r>
    <r>
      <rPr>
        <sz val="10"/>
        <color rgb="FF1F2933"/>
        <rFont val="Noto Sans CJK SC"/>
        <charset val="134"/>
      </rPr>
      <t xml:space="preserve">条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千行（</t>
    </r>
    <r>
      <rPr>
        <sz val="10"/>
        <color rgb="FF1F2933"/>
        <rFont val="微软雅黑"/>
        <charset val="1"/>
      </rPr>
      <t xml:space="preserve">51 </t>
    </r>
    <r>
      <rPr>
        <sz val="10"/>
        <color rgb="FF1F2933"/>
        <rFont val="Noto Sans CJK SC"/>
        <charset val="134"/>
      </rPr>
      <t xml:space="preserve">条 </t>
    </r>
    <r>
      <rPr>
        <sz val="10"/>
        <color rgb="FF1F2933"/>
        <rFont val="微软雅黑"/>
        <charset val="1"/>
      </rPr>
      <t xml:space="preserve">÷ 40.76 </t>
    </r>
    <r>
      <rPr>
        <sz val="10"/>
        <color rgb="FF1F2933"/>
        <rFont val="Noto Sans CJK SC"/>
        <charset val="134"/>
      </rPr>
      <t>千行）</t>
    </r>
  </si>
  <si>
    <r>
      <rPr>
        <sz val="10"/>
        <color rgb="FF1F2933"/>
        <rFont val="微软雅黑"/>
        <charset val="1"/>
      </rPr>
      <t xml:space="preserve">2.71 </t>
    </r>
    <r>
      <rPr>
        <sz val="10"/>
        <color rgb="FF1F2933"/>
        <rFont val="Noto Sans CJK SC"/>
        <charset val="134"/>
      </rPr>
      <t xml:space="preserve">条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千行（</t>
    </r>
    <r>
      <rPr>
        <sz val="10"/>
        <color rgb="FF1F2933"/>
        <rFont val="微软雅黑"/>
        <charset val="1"/>
      </rPr>
      <t xml:space="preserve">3 </t>
    </r>
    <r>
      <rPr>
        <sz val="10"/>
        <color rgb="FF1F2933"/>
        <rFont val="Noto Sans CJK SC"/>
        <charset val="134"/>
      </rPr>
      <t xml:space="preserve">条 </t>
    </r>
    <r>
      <rPr>
        <sz val="10"/>
        <color rgb="FF1F2933"/>
        <rFont val="微软雅黑"/>
        <charset val="1"/>
      </rPr>
      <t xml:space="preserve">÷ 1.107 </t>
    </r>
    <r>
      <rPr>
        <sz val="10"/>
        <color rgb="FF1F2933"/>
        <rFont val="Noto Sans CJK SC"/>
        <charset val="134"/>
      </rPr>
      <t>千行）</t>
    </r>
  </si>
  <si>
    <r>
      <rPr>
        <sz val="10"/>
        <color rgb="FF1F2933"/>
        <rFont val="微软雅黑"/>
        <charset val="1"/>
      </rPr>
      <t xml:space="preserve">16.22 </t>
    </r>
    <r>
      <rPr>
        <sz val="10"/>
        <color rgb="FF1F2933"/>
        <rFont val="Noto Sans CJK SC"/>
        <charset val="134"/>
      </rPr>
      <t xml:space="preserve">条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千行（</t>
    </r>
    <r>
      <rPr>
        <sz val="10"/>
        <color rgb="FF1F2933"/>
        <rFont val="微软雅黑"/>
        <charset val="1"/>
      </rPr>
      <t xml:space="preserve">3 </t>
    </r>
    <r>
      <rPr>
        <sz val="10"/>
        <color rgb="FF1F2933"/>
        <rFont val="Noto Sans CJK SC"/>
        <charset val="134"/>
      </rPr>
      <t xml:space="preserve">条 </t>
    </r>
    <r>
      <rPr>
        <sz val="10"/>
        <color rgb="FF1F2933"/>
        <rFont val="微软雅黑"/>
        <charset val="1"/>
      </rPr>
      <t xml:space="preserve">÷ 0.185 </t>
    </r>
    <r>
      <rPr>
        <sz val="10"/>
        <color rgb="FF1F2933"/>
        <rFont val="Noto Sans CJK SC"/>
        <charset val="134"/>
      </rPr>
      <t>千行）</t>
    </r>
  </si>
  <si>
    <t>项目级总体规则遵从度</t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</si>
  <si>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聚合下只有通过（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）和不通过（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 xml:space="preserve">）两个取值，实测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0/1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），不带新信息（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）；分母恒为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，也谈不上比例（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</t>
    </r>
  </si>
  <si>
    <t>rules.conformity.project</t>
  </si>
  <si>
    <r>
      <rPr>
        <sz val="10"/>
        <color rgb="FF1F2933"/>
        <rFont val="Noto Sans CJK SC"/>
        <charset val="134"/>
      </rPr>
      <t xml:space="preserve">没有任何相关发现条目且无解析失败时为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 xml:space="preserve">，否则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 xml:space="preserve">聚合时为通过的 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>数）</t>
    </r>
  </si>
  <si>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聚合）；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 xml:space="preserve">聚合时为 </t>
    </r>
    <r>
      <rPr>
        <sz val="10"/>
        <color rgb="FF1F2933"/>
        <rFont val="微软雅黑"/>
        <charset val="1"/>
      </rPr>
      <t xml:space="preserve">view </t>
    </r>
    <r>
      <rPr>
        <sz val="10"/>
        <color rgb="FF1F2933"/>
        <rFont val="Noto Sans CJK SC"/>
        <charset val="134"/>
      </rPr>
      <t xml:space="preserve">数；有解析失败且 </t>
    </r>
    <r>
      <rPr>
        <sz val="10"/>
        <color rgb="FF1F2933"/>
        <rFont val="微软雅黑"/>
        <charset val="1"/>
      </rPr>
      <t xml:space="preserve">unknown_policy = exclude </t>
    </r>
    <r>
      <rPr>
        <sz val="10"/>
        <color rgb="FF1F2933"/>
        <rFont val="Noto Sans CJK SC"/>
        <charset val="134"/>
      </rPr>
      <t xml:space="preserve">时分母为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not_applicable</t>
    </r>
    <r>
      <rPr>
        <sz val="10"/>
        <color rgb="FF1F2933"/>
        <rFont val="Noto Sans CJK SC"/>
        <charset val="134"/>
      </rPr>
      <t>）</t>
    </r>
  </si>
  <si>
    <t>项目级可维护规则遵从度</t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</si>
  <si>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聚合下只有通过（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）和不通过（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 xml:space="preserve">）两个取值，实测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0/1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），不带新信息（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）；分母恒为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，也谈不上比例（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）。可维护维度只是把规则命中重新分组，不改变这一点。</t>
    </r>
  </si>
  <si>
    <t>rules.conformity.project.maintainability</t>
  </si>
  <si>
    <t>项目级可读规则遵从度</t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</si>
  <si>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聚合下只有通过（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）和不通过（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 xml:space="preserve">）两个取值，实测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0/1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），不带新信息（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）；分母恒为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，也谈不上比例（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）。可读维度只是把规则命中重新分组，不改变这一点。</t>
    </r>
  </si>
  <si>
    <t>rules.conformity.project.readability</t>
  </si>
  <si>
    <t>项目级可靠规则遵从度</t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</si>
  <si>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聚合下只有通过（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）和不通过（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 xml:space="preserve">）两个取值，实测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0/1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），不带新信息（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）；分母恒为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，也谈不上比例（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）。可靠维度只是把规则命中重新分组，不改变这一点。</t>
    </r>
  </si>
  <si>
    <t>rules.conformity.project.reliability</t>
  </si>
  <si>
    <t>项目级安全规则遵从度</t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</si>
  <si>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聚合下只有通过（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）和不通过（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 xml:space="preserve">）两个取值，实测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0/1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），不带新信息（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）；分母恒为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，也谈不上比例（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）。安全维度只是把规则命中重新分组，不改变这一点。</t>
    </r>
  </si>
  <si>
    <t>rules.conformity.project.security</t>
  </si>
  <si>
    <t>项目级可测试规则遵从度</t>
  </si>
  <si>
    <r>
      <rPr>
        <sz val="10"/>
        <color rgb="FF1F2933"/>
        <rFont val="Noto Sans CJK SC"/>
        <charset val="134"/>
      </rPr>
      <t xml:space="preserve">项目级把整个分析范围当作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个单位，默认的 </t>
    </r>
    <r>
      <rPr>
        <sz val="10"/>
        <color rgb="FF1F2933"/>
        <rFont val="微软雅黑"/>
        <charset val="1"/>
      </rPr>
      <t xml:space="preserve">physical </t>
    </r>
    <r>
      <rPr>
        <sz val="10"/>
        <color rgb="FF1F2933"/>
        <rFont val="Noto Sans CJK SC"/>
        <charset val="134"/>
      </rPr>
      <t>聚合下只有通过（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）和不通过（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 xml:space="preserve">）两个取值，实测 </t>
    </r>
    <r>
      <rPr>
        <sz val="10"/>
        <color rgb="FF1F2933"/>
        <rFont val="微软雅黑"/>
        <charset val="1"/>
      </rPr>
      <t>0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0/1</t>
    </r>
    <r>
      <rPr>
        <sz val="10"/>
        <color rgb="FF1F2933"/>
        <rFont val="Noto Sans CJK SC"/>
        <charset val="134"/>
      </rPr>
      <t>）。这个结论就是门禁栏已展示的门禁结论（</t>
    </r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），不带新信息（</t>
    </r>
    <r>
      <rPr>
        <sz val="10"/>
        <color rgb="FF1F2933"/>
        <rFont val="微软雅黑"/>
        <charset val="1"/>
      </rPr>
      <t>A1</t>
    </r>
    <r>
      <rPr>
        <sz val="10"/>
        <color rgb="FF1F2933"/>
        <rFont val="Noto Sans CJK SC"/>
        <charset val="134"/>
      </rPr>
      <t xml:space="preserve">）；分母恒为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，也谈不上比例（</t>
    </r>
    <r>
      <rPr>
        <sz val="10"/>
        <color rgb="FF1F2933"/>
        <rFont val="微软雅黑"/>
        <charset val="1"/>
      </rPr>
      <t>A3</t>
    </r>
    <r>
      <rPr>
        <sz val="10"/>
        <color rgb="FF1F2933"/>
        <rFont val="Noto Sans CJK SC"/>
        <charset val="134"/>
      </rPr>
      <t>）。可测试维度只是把规则命中重新分组，不改变这一点。</t>
    </r>
  </si>
  <si>
    <t>rules.conformity.project.testability</t>
  </si>
  <si>
    <r>
      <rPr>
        <b/>
        <sz val="14"/>
        <color rgb="FF1F2933"/>
        <rFont val="Noto Sans CJK SC"/>
        <charset val="134"/>
      </rPr>
      <t xml:space="preserve">不参与评估的 </t>
    </r>
    <r>
      <rPr>
        <b/>
        <sz val="14"/>
        <color rgb="FF1F2933"/>
        <rFont val="微软雅黑"/>
        <charset val="1"/>
      </rPr>
      <t xml:space="preserve">12 </t>
    </r>
    <r>
      <rPr>
        <b/>
        <sz val="14"/>
        <color rgb="FF1F2933"/>
        <rFont val="Noto Sans CJK SC"/>
        <charset val="134"/>
      </rPr>
      <t>项：工具没有给出计算方式</t>
    </r>
  </si>
  <si>
    <r>
      <rPr>
        <sz val="9"/>
        <color rgb="FF595959"/>
        <rFont val="微软雅黑"/>
        <charset val="1"/>
      </rPr>
      <t xml:space="preserve">bot-metric </t>
    </r>
    <r>
      <rPr>
        <sz val="9"/>
        <color rgb="FF595959"/>
        <rFont val="Noto Sans CJK SC"/>
        <charset val="134"/>
      </rPr>
      <t xml:space="preserve">内置的规则里，没有任何一条对应「高效」或「可移植」这两个质量维度。这 </t>
    </r>
    <r>
      <rPr>
        <sz val="9"/>
        <color rgb="FF595959"/>
        <rFont val="微软雅黑"/>
        <charset val="1"/>
      </rPr>
      <t xml:space="preserve">12 </t>
    </r>
    <r>
      <rPr>
        <sz val="9"/>
        <color rgb="FF595959"/>
        <rFont val="Noto Sans CJK SC"/>
        <charset val="134"/>
      </rPr>
      <t>项指标在源码里被直接写死：</t>
    </r>
    <r>
      <rPr>
        <sz val="9"/>
        <color rgb="FF595959"/>
        <rFont val="微软雅黑"/>
        <charset val="1"/>
      </rPr>
      <t>value = numerator = denominator = 0</t>
    </r>
    <r>
      <rPr>
        <sz val="9"/>
        <color rgb="FF595959"/>
        <rFont val="Noto Sans CJK SC"/>
        <charset val="134"/>
      </rPr>
      <t>，</t>
    </r>
    <r>
      <rPr>
        <sz val="9"/>
        <color rgb="FF595959"/>
        <rFont val="微软雅黑"/>
        <charset val="1"/>
      </rPr>
      <t>status = not_applicable</t>
    </r>
    <r>
      <rPr>
        <sz val="9"/>
        <color rgb="FF595959"/>
        <rFont val="Noto Sans CJK SC"/>
        <charset val="134"/>
      </rPr>
      <t xml:space="preserve">。全量和单文件两种输入实测都是这个结果，换任何代码都一样，不能当作「达标」来读。所以它们不进入选型评估，也不占「选入 </t>
    </r>
    <r>
      <rPr>
        <sz val="9"/>
        <color rgb="FF595959"/>
        <rFont val="微软雅黑"/>
        <charset val="1"/>
      </rPr>
      <t xml:space="preserve">/ </t>
    </r>
    <r>
      <rPr>
        <sz val="9"/>
        <color rgb="FF595959"/>
        <rFont val="Noto Sans CJK SC"/>
        <charset val="134"/>
      </rPr>
      <t>不选入」的数量。</t>
    </r>
  </si>
  <si>
    <t>质量维度</t>
  </si>
  <si>
    <t>源码里写死的位置</t>
  </si>
  <si>
    <t>rules.conformity.performance_efficiency</t>
  </si>
  <si>
    <t>文件级高效规则遵从度</t>
  </si>
  <si>
    <t>高效</t>
  </si>
  <si>
    <t>rules.rs:480</t>
  </si>
  <si>
    <t>rules.conformity.portability</t>
  </si>
  <si>
    <t>文件级可移植规则遵从度</t>
  </si>
  <si>
    <t>可移植</t>
  </si>
  <si>
    <t>rules.coverage.performance_efficiency</t>
  </si>
  <si>
    <t>文件级高效规则覆盖率</t>
  </si>
  <si>
    <t>rules.rs:839</t>
  </si>
  <si>
    <t>rules.coverage.portability</t>
  </si>
  <si>
    <t>文件级可移植规则覆盖率</t>
  </si>
  <si>
    <t>rules.conformity.function.performance_efficiency</t>
  </si>
  <si>
    <t>函数级高效规则遵从度</t>
  </si>
  <si>
    <t>rules.rs:826</t>
  </si>
  <si>
    <t>rules.conformity.function.portability</t>
  </si>
  <si>
    <t>函数级可移植规则遵从度</t>
  </si>
  <si>
    <t>rules.coverage.function.performance_efficiency</t>
  </si>
  <si>
    <t>函数级高效规则覆盖率</t>
  </si>
  <si>
    <t>rules.coverage.function.portability</t>
  </si>
  <si>
    <t>函数级可移植规则覆盖率</t>
  </si>
  <si>
    <t>rules.conformity.project.performance_efficiency</t>
  </si>
  <si>
    <t>项目级高效规则遵从度</t>
  </si>
  <si>
    <t>rules.conformity.project.portability</t>
  </si>
  <si>
    <t>项目级可移植规则遵从度</t>
  </si>
  <si>
    <t>rules.coverage.project.performance_efficiency</t>
  </si>
  <si>
    <t>项目级高效规则覆盖率</t>
  </si>
  <si>
    <t>rules.coverage.project.portability</t>
  </si>
  <si>
    <t>项目级可移植规则覆盖率</t>
  </si>
  <si>
    <r>
      <rPr>
        <sz val="9"/>
        <color rgb="FF595959"/>
        <rFont val="Noto Sans CJK SC"/>
        <charset val="134"/>
      </rPr>
      <t>解除条件：</t>
    </r>
    <r>
      <rPr>
        <sz val="9"/>
        <color rgb="FF595959"/>
        <rFont val="微软雅黑"/>
        <charset val="1"/>
      </rPr>
      <t xml:space="preserve">bot-metric </t>
    </r>
    <r>
      <rPr>
        <sz val="9"/>
        <color rgb="FF595959"/>
        <rFont val="Noto Sans CJK SC"/>
        <charset val="134"/>
      </rPr>
      <t xml:space="preserve">新增对应这两个维度的规则，或接入 </t>
    </r>
    <r>
      <rPr>
        <sz val="9"/>
        <color rgb="FF595959"/>
        <rFont val="微软雅黑"/>
        <charset val="1"/>
      </rPr>
      <t xml:space="preserve">clippy </t>
    </r>
    <r>
      <rPr>
        <sz val="9"/>
        <color rgb="FF595959"/>
        <rFont val="Noto Sans CJK SC"/>
        <charset val="134"/>
      </rPr>
      <t>并建立「</t>
    </r>
    <r>
      <rPr>
        <sz val="9"/>
        <color rgb="FF595959"/>
        <rFont val="微软雅黑"/>
        <charset val="1"/>
      </rPr>
      <t xml:space="preserve">lint → </t>
    </r>
    <r>
      <rPr>
        <sz val="9"/>
        <color rgb="FF595959"/>
        <rFont val="Noto Sans CJK SC"/>
        <charset val="134"/>
      </rPr>
      <t>质量维度」的映射。</t>
    </r>
  </si>
  <si>
    <t>插件各处展示什么，数据取自哪里</t>
  </si>
  <si>
    <r>
      <rPr>
        <sz val="9"/>
        <color rgb="FF595959"/>
        <rFont val="Noto Sans CJK SC"/>
        <charset val="134"/>
      </rPr>
      <t xml:space="preserve">五个展示位置编号与界面稿一致（④ 下有两个视图：工作区概览、问题）。口径只有一个来源：所有展示值取自 </t>
    </r>
    <r>
      <rPr>
        <sz val="9"/>
        <color rgb="FF595959"/>
        <rFont val="微软雅黑"/>
        <charset val="1"/>
      </rPr>
      <t xml:space="preserve">bot-metric </t>
    </r>
    <r>
      <rPr>
        <sz val="9"/>
        <color rgb="FF595959"/>
        <rFont val="Noto Sans CJK SC"/>
        <charset val="134"/>
      </rPr>
      <t xml:space="preserve">的输出字段，插件不自行计算。实测值均来自 </t>
    </r>
    <r>
      <rPr>
        <sz val="9"/>
        <color rgb="FF595959"/>
        <rFont val="微软雅黑"/>
        <charset val="1"/>
      </rPr>
      <t xml:space="preserve">ripgrep </t>
    </r>
    <r>
      <rPr>
        <sz val="9"/>
        <color rgb="FF595959"/>
        <rFont val="Noto Sans CJK SC"/>
        <charset val="134"/>
      </rPr>
      <t>源码树（工作区）、</t>
    </r>
    <r>
      <rPr>
        <sz val="9"/>
        <color rgb="FF595959"/>
        <rFont val="微软雅黑"/>
        <charset val="1"/>
      </rPr>
      <t>hiargs.rs</t>
    </r>
    <r>
      <rPr>
        <sz val="9"/>
        <color rgb="FF595959"/>
        <rFont val="Noto Sans CJK SC"/>
        <charset val="134"/>
      </rPr>
      <t xml:space="preserve">（本文件）与 </t>
    </r>
    <r>
      <rPr>
        <sz val="9"/>
        <color rgb="FF595959"/>
        <rFont val="微软雅黑"/>
        <charset val="1"/>
      </rPr>
      <t>from_low_args</t>
    </r>
    <r>
      <rPr>
        <sz val="9"/>
        <color rgb="FF595959"/>
        <rFont val="Noto Sans CJK SC"/>
        <charset val="134"/>
      </rPr>
      <t>（光标处）。</t>
    </r>
  </si>
  <si>
    <t>展示位置</t>
  </si>
  <si>
    <t>展示什么</t>
  </si>
  <si>
    <t>数据来源</t>
  </si>
  <si>
    <t>范围</t>
  </si>
  <si>
    <t>实测值</t>
  </si>
  <si>
    <t>① 诊断
（波浪线与问题面板；只来自规则，不来自指标）</t>
  </si>
  <si>
    <t>函数过长</t>
  </si>
  <si>
    <r>
      <rPr>
        <sz val="10"/>
        <color rgb="FF1F2933"/>
        <rFont val="Noto Sans CJK SC"/>
        <charset val="134"/>
      </rPr>
      <t xml:space="preserve">规则 </t>
    </r>
    <r>
      <rPr>
        <sz val="10"/>
        <color rgb="FF1F2933"/>
        <rFont val="微软雅黑"/>
        <charset val="1"/>
      </rPr>
      <t xml:space="preserve">BM001 </t>
    </r>
    <r>
      <rPr>
        <sz val="10"/>
        <color rgb="FF1F2933"/>
        <rFont val="Noto Sans CJK SC"/>
        <charset val="134"/>
      </rPr>
      <t>的问题条目（</t>
    </r>
    <r>
      <rPr>
        <sz val="10"/>
        <color rgb="FF1F2933"/>
        <rFont val="微软雅黑"/>
        <charset val="1"/>
      </rPr>
      <t>rust.function.too_large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</si>
  <si>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工作区 </t>
    </r>
    <r>
      <rPr>
        <sz val="10"/>
        <color rgb="FF1F2933"/>
        <rFont val="微软雅黑"/>
        <charset val="1"/>
      </rPr>
      <t xml:space="preserve">38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</si>
  <si>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条目文本自带数字，如「函数体 </t>
    </r>
    <r>
      <rPr>
        <sz val="10"/>
        <color rgb="FF1F2933"/>
        <rFont val="微软雅黑"/>
        <charset val="1"/>
      </rPr>
      <t xml:space="preserve">185 </t>
    </r>
    <r>
      <rPr>
        <sz val="10"/>
        <color rgb="FF1F2933"/>
        <rFont val="Noto Sans CJK SC"/>
        <charset val="134"/>
      </rPr>
      <t xml:space="preserve">行，上限 </t>
    </r>
    <r>
      <rPr>
        <sz val="10"/>
        <color rgb="FF1F2933"/>
        <rFont val="微软雅黑"/>
        <charset val="1"/>
      </rPr>
      <t>50</t>
    </r>
    <r>
      <rPr>
        <sz val="10"/>
        <color rgb="FF1F2933"/>
        <rFont val="Noto Sans CJK SC"/>
        <charset val="134"/>
      </rPr>
      <t>」。</t>
    </r>
  </si>
  <si>
    <t>函数复杂度过高</t>
  </si>
  <si>
    <r>
      <rPr>
        <sz val="10"/>
        <color rgb="FF1F2933"/>
        <rFont val="Noto Sans CJK SC"/>
        <charset val="134"/>
      </rPr>
      <t xml:space="preserve">规则 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>的问题条目（</t>
    </r>
    <r>
      <rPr>
        <sz val="10"/>
        <color rgb="FF1F2933"/>
        <rFont val="微软雅黑"/>
        <charset val="1"/>
      </rPr>
      <t>rust.function.too_complex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</si>
  <si>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工作区 </t>
    </r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</si>
  <si>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条目文本写明圈复杂度 </t>
    </r>
    <r>
      <rPr>
        <sz val="10"/>
        <color rgb="FF1F2933"/>
        <rFont val="微软雅黑"/>
        <charset val="1"/>
      </rPr>
      <t>34</t>
    </r>
    <r>
      <rPr>
        <sz val="10"/>
        <color rgb="FF1F2933"/>
        <rFont val="Noto Sans CJK SC"/>
        <charset val="134"/>
      </rPr>
      <t xml:space="preserve">、上限 </t>
    </r>
    <r>
      <rPr>
        <sz val="10"/>
        <color rgb="FF1F2933"/>
        <rFont val="微软雅黑"/>
        <charset val="1"/>
      </rPr>
      <t>20</t>
    </r>
    <r>
      <rPr>
        <sz val="10"/>
        <color rgb="FF1F2933"/>
        <rFont val="Noto Sans CJK SC"/>
        <charset val="134"/>
      </rPr>
      <t>，是单个函数复杂度唯一准确的来源。</t>
    </r>
  </si>
  <si>
    <r>
      <rPr>
        <b/>
        <sz val="10"/>
        <color rgb="FF1F2933"/>
        <rFont val="微软雅黑"/>
        <charset val="1"/>
      </rPr>
      <t xml:space="preserve">unsafe </t>
    </r>
    <r>
      <rPr>
        <b/>
        <sz val="10"/>
        <color rgb="FF1F2933"/>
        <rFont val="Noto Sans CJK SC"/>
        <charset val="134"/>
      </rPr>
      <t>使用</t>
    </r>
  </si>
  <si>
    <r>
      <rPr>
        <sz val="10"/>
        <color rgb="FF1F2933"/>
        <rFont val="Noto Sans CJK SC"/>
        <charset val="134"/>
      </rPr>
      <t xml:space="preserve">规则 </t>
    </r>
    <r>
      <rPr>
        <sz val="10"/>
        <color rgb="FF1F2933"/>
        <rFont val="微软雅黑"/>
        <charset val="1"/>
      </rPr>
      <t xml:space="preserve">BM002 </t>
    </r>
    <r>
      <rPr>
        <sz val="10"/>
        <color rgb="FF1F2933"/>
        <rFont val="Noto Sans CJK SC"/>
        <charset val="134"/>
      </rPr>
      <t>的问题条目（</t>
    </r>
    <r>
      <rPr>
        <sz val="10"/>
        <color rgb="FF1F2933"/>
        <rFont val="微软雅黑"/>
        <charset val="1"/>
      </rPr>
      <t>rust.safety.unsafe_usage</t>
    </r>
    <r>
      <rPr>
        <sz val="10"/>
        <color rgb="FF1F2933"/>
        <rFont val="Noto Sans CJK SC"/>
        <charset val="134"/>
      </rPr>
      <t>）</t>
    </r>
  </si>
  <si>
    <t>函数级以下</t>
  </si>
  <si>
    <r>
      <rPr>
        <sz val="10"/>
        <color rgb="FF1F2933"/>
        <rFont val="Noto Sans CJK SC"/>
        <charset val="134"/>
      </rPr>
      <t xml:space="preserve">工作区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</si>
  <si>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每个 </t>
    </r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区域一条，位置精确到列。</t>
    </r>
  </si>
  <si>
    <t>文件过大</t>
  </si>
  <si>
    <r>
      <rPr>
        <sz val="10"/>
        <color rgb="FF1F2933"/>
        <rFont val="Noto Sans CJK SC"/>
        <charset val="134"/>
      </rPr>
      <t xml:space="preserve">规则 </t>
    </r>
    <r>
      <rPr>
        <sz val="10"/>
        <color rgb="FF1F2933"/>
        <rFont val="微软雅黑"/>
        <charset val="1"/>
      </rPr>
      <t xml:space="preserve">BM003 </t>
    </r>
    <r>
      <rPr>
        <sz val="10"/>
        <color rgb="FF1F2933"/>
        <rFont val="Noto Sans CJK SC"/>
        <charset val="134"/>
      </rPr>
      <t>的问题条目（</t>
    </r>
    <r>
      <rPr>
        <sz val="10"/>
        <color rgb="FF1F2933"/>
        <rFont val="微软雅黑"/>
        <charset val="1"/>
      </rPr>
      <t>rust.file.too_large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</si>
  <si>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工作区 </t>
    </r>
    <r>
      <rPr>
        <sz val="10"/>
        <color rgb="FF1F2933"/>
        <rFont val="微软雅黑"/>
        <charset val="1"/>
      </rPr>
      <t xml:space="preserve">2 </t>
    </r>
    <r>
      <rPr>
        <sz val="10"/>
        <color rgb="FF1F2933"/>
        <rFont val="Noto Sans CJK SC"/>
        <charset val="134"/>
      </rPr>
      <t>条</t>
    </r>
  </si>
  <si>
    <t>挂在文件顶部。</t>
  </si>
  <si>
    <t>重复代码块、整文件重复</t>
  </si>
  <si>
    <r>
      <rPr>
        <sz val="10"/>
        <color rgb="FF1F2933"/>
        <rFont val="Noto Sans CJK SC"/>
        <charset val="134"/>
      </rPr>
      <t xml:space="preserve">规则 </t>
    </r>
    <r>
      <rPr>
        <sz val="10"/>
        <color rgb="FF1F2933"/>
        <rFont val="微软雅黑"/>
        <charset val="1"/>
      </rPr>
      <t>BM006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BM007 </t>
    </r>
    <r>
      <rPr>
        <sz val="10"/>
        <color rgb="FF1F2933"/>
        <rFont val="Noto Sans CJK SC"/>
        <charset val="134"/>
      </rPr>
      <t>的问题条目（</t>
    </r>
    <r>
      <rPr>
        <sz val="10"/>
        <color rgb="FF1F2933"/>
        <rFont val="微软雅黑"/>
        <charset val="1"/>
      </rPr>
      <t>duplicated_block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file.exact_duplicate</t>
    </r>
    <r>
      <rPr>
        <sz val="10"/>
        <color rgb="FF1F2933"/>
        <rFont val="Noto Sans CJK SC"/>
        <charset val="134"/>
      </rPr>
      <t>）</t>
    </r>
  </si>
  <si>
    <t>跨模块</t>
  </si>
  <si>
    <t>默认关闭</t>
  </si>
  <si>
    <t>需先打开重复发现开关；跨文件重复只有工作区范围能算。</t>
  </si>
  <si>
    <r>
      <rPr>
        <b/>
        <sz val="10"/>
        <color rgb="FF1F2933"/>
        <rFont val="Noto Sans CJK SC"/>
        <charset val="134"/>
      </rPr>
      <t>② 函数提示
（</t>
    </r>
    <r>
      <rPr>
        <b/>
        <sz val="10"/>
        <color rgb="FF1F2933"/>
        <rFont val="微软雅黑"/>
        <charset val="1"/>
      </rPr>
      <t xml:space="preserve">CodeLens </t>
    </r>
    <r>
      <rPr>
        <b/>
        <sz val="10"/>
        <color rgb="FF1F2933"/>
        <rFont val="Noto Sans CJK SC"/>
        <charset val="134"/>
      </rPr>
      <t>只在有问题的函数上；悬停在任意函数名上）</t>
    </r>
  </si>
  <si>
    <t>超限的实际值与上限</t>
  </si>
  <si>
    <r>
      <rPr>
        <sz val="10"/>
        <color rgb="FF1F2933"/>
        <rFont val="Noto Sans CJK SC"/>
        <charset val="134"/>
      </rPr>
      <t xml:space="preserve">规则 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>的问题条目文本，如“</t>
    </r>
    <r>
      <rPr>
        <sz val="10"/>
        <color rgb="FF1F2933"/>
        <rFont val="微软雅黑"/>
        <charset val="1"/>
      </rPr>
      <t>76 code lines exceed the limit of 50 by 26”</t>
    </r>
  </si>
  <si>
    <r>
      <rPr>
        <sz val="10"/>
        <color rgb="FF1F2933"/>
        <rFont val="微软雅黑"/>
        <charset val="1"/>
      </rPr>
      <t xml:space="preserve">185 </t>
    </r>
    <r>
      <rPr>
        <sz val="10"/>
        <color rgb="FF1F2933"/>
        <rFont val="Noto Sans CJK SC"/>
        <charset val="134"/>
      </rPr>
      <t xml:space="preserve">行，上限 </t>
    </r>
    <r>
      <rPr>
        <sz val="10"/>
        <color rgb="FF1F2933"/>
        <rFont val="微软雅黑"/>
        <charset val="1"/>
      </rPr>
      <t>50</t>
    </r>
    <r>
      <rPr>
        <sz val="10"/>
        <color rgb="FF1F2933"/>
        <rFont val="Noto Sans CJK SC"/>
        <charset val="134"/>
      </rPr>
      <t xml:space="preserve">，超出 </t>
    </r>
    <r>
      <rPr>
        <sz val="10"/>
        <color rgb="FF1F2933"/>
        <rFont val="微软雅黑"/>
        <charset val="1"/>
      </rPr>
      <t>135</t>
    </r>
    <r>
      <rPr>
        <sz val="10"/>
        <color rgb="FF1F2933"/>
        <rFont val="Noto Sans CJK SC"/>
        <charset val="134"/>
      </rPr>
      <t xml:space="preserve">；圈复杂度 </t>
    </r>
    <r>
      <rPr>
        <sz val="10"/>
        <color rgb="FF1F2933"/>
        <rFont val="微软雅黑"/>
        <charset val="1"/>
      </rPr>
      <t>34</t>
    </r>
    <r>
      <rPr>
        <sz val="10"/>
        <color rgb="FF1F2933"/>
        <rFont val="Noto Sans CJK SC"/>
        <charset val="134"/>
      </rPr>
      <t xml:space="preserve">，上限 </t>
    </r>
    <r>
      <rPr>
        <sz val="10"/>
        <color rgb="FF1F2933"/>
        <rFont val="微软雅黑"/>
        <charset val="1"/>
      </rPr>
      <t>20</t>
    </r>
  </si>
  <si>
    <r>
      <rPr>
        <sz val="10"/>
        <color rgb="FF1F2933"/>
        <rFont val="Noto Sans CJK SC"/>
        <charset val="134"/>
      </rPr>
      <t>命中规则的函数，悬停里的数字取自条目文本，并写出规则编号与超出量。数字靠解析条目文本，</t>
    </r>
    <r>
      <rPr>
        <sz val="10"/>
        <color rgb="FF1F2933"/>
        <rFont val="微软雅黑"/>
        <charset val="1"/>
      </rPr>
      <t xml:space="preserve">bot-metric </t>
    </r>
    <r>
      <rPr>
        <sz val="10"/>
        <color rgb="FF1F2933"/>
        <rFont val="Noto Sans CJK SC"/>
        <charset val="134"/>
      </rPr>
      <t xml:space="preserve">改措辞会缺失，需向它提结构化字段（设计文档 </t>
    </r>
    <r>
      <rPr>
        <sz val="10"/>
        <color rgb="FF1F2933"/>
        <rFont val="微软雅黑"/>
        <charset val="1"/>
      </rPr>
      <t>DD-4</t>
    </r>
    <r>
      <rPr>
        <sz val="10"/>
        <color rgb="FF1F2933"/>
        <rFont val="Noto Sans CJK SC"/>
        <charset val="134"/>
      </rPr>
      <t>）。</t>
    </r>
  </si>
  <si>
    <t>正常函数的行数与圈复杂度</t>
  </si>
  <si>
    <r>
      <rPr>
        <sz val="10"/>
        <color rgb="FF1F2933"/>
        <rFont val="Noto Sans CJK SC"/>
        <charset val="134"/>
      </rPr>
      <t>悬停时对光标所在函数做一次语法项投影（</t>
    </r>
    <r>
      <rPr>
        <sz val="10"/>
        <color rgb="FF1F2933"/>
        <rFont val="微软雅黑"/>
        <charset val="1"/>
      </rPr>
      <t>--item-at</t>
    </r>
    <r>
      <rPr>
        <sz val="10"/>
        <color rgb="FF1F2933"/>
        <rFont val="Noto Sans CJK SC"/>
        <charset val="134"/>
      </rPr>
      <t xml:space="preserve">），取目录里 </t>
    </r>
    <r>
      <rPr>
        <sz val="10"/>
        <color rgb="FF1F2933"/>
        <rFont val="微软雅黑"/>
        <charset val="1"/>
      </rPr>
      <t xml:space="preserve">valueMetric </t>
    </r>
    <r>
      <rPr>
        <sz val="10"/>
        <color rgb="FF1F2933"/>
        <rFont val="Noto Sans CJK SC"/>
        <charset val="134"/>
      </rPr>
      <t>指向的指标在该语法项上的值；上限用目录里的显示阈值</t>
    </r>
  </si>
  <si>
    <t>函数级（语法项）</t>
  </si>
  <si>
    <r>
      <rPr>
        <sz val="10"/>
        <color rgb="FF1F2933"/>
        <rFont val="微软雅黑"/>
        <charset val="1"/>
      </rPr>
      <t>matcher_rust</t>
    </r>
    <r>
      <rPr>
        <sz val="10"/>
        <color rgb="FF1F2933"/>
        <rFont val="Noto Sans CJK SC"/>
        <charset val="134"/>
      </rPr>
      <t>：</t>
    </r>
    <r>
      <rPr>
        <sz val="10"/>
        <color rgb="FF1F2933"/>
        <rFont val="微软雅黑"/>
        <charset val="1"/>
      </rPr>
      <t xml:space="preserve">49 </t>
    </r>
    <r>
      <rPr>
        <sz val="10"/>
        <color rgb="FF1F2933"/>
        <rFont val="Noto Sans CJK SC"/>
        <charset val="134"/>
      </rPr>
      <t xml:space="preserve">行（上限 </t>
    </r>
    <r>
      <rPr>
        <sz val="10"/>
        <color rgb="FF1F2933"/>
        <rFont val="微软雅黑"/>
        <charset val="1"/>
      </rPr>
      <t>50</t>
    </r>
    <r>
      <rPr>
        <sz val="10"/>
        <color rgb="FF1F2933"/>
        <rFont val="Noto Sans CJK SC"/>
        <charset val="134"/>
      </rPr>
      <t xml:space="preserve">）、圈复杂度 </t>
    </r>
    <r>
      <rPr>
        <sz val="10"/>
        <color rgb="FF1F2933"/>
        <rFont val="微软雅黑"/>
        <charset val="1"/>
      </rPr>
      <t>13</t>
    </r>
    <r>
      <rPr>
        <sz val="10"/>
        <color rgb="FF1F2933"/>
        <rFont val="Noto Sans CJK SC"/>
        <charset val="134"/>
      </rPr>
      <t xml:space="preserve">（上限 </t>
    </r>
    <r>
      <rPr>
        <sz val="10"/>
        <color rgb="FF1F2933"/>
        <rFont val="微软雅黑"/>
        <charset val="1"/>
      </rPr>
      <t>20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</si>
  <si>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每次约 </t>
    </r>
    <r>
      <rPr>
        <sz val="10"/>
        <color rgb="FF1F2933"/>
        <rFont val="微软雅黑"/>
        <charset val="1"/>
      </rPr>
      <t xml:space="preserve">18 </t>
    </r>
    <r>
      <rPr>
        <sz val="10"/>
        <color rgb="FF1F2933"/>
        <rFont val="Noto Sans CJK SC"/>
        <charset val="134"/>
      </rPr>
      <t>毫秒，结果按「文件</t>
    </r>
    <r>
      <rPr>
        <sz val="10"/>
        <color rgb="FF1F2933"/>
        <rFont val="微软雅黑"/>
        <charset val="1"/>
      </rPr>
      <t>#</t>
    </r>
    <r>
      <rPr>
        <sz val="10"/>
        <color rgb="FF1F2933"/>
        <rFont val="Noto Sans CJK SC"/>
        <charset val="134"/>
      </rPr>
      <t xml:space="preserve">行」缓存，工作区快照一换就丢弃。函数含闭包时是区域平均，可能偏低（设计文档 </t>
    </r>
    <r>
      <rPr>
        <sz val="10"/>
        <color rgb="FF1F2933"/>
        <rFont val="微软雅黑"/>
        <charset val="1"/>
      </rPr>
      <t>R-2</t>
    </r>
    <r>
      <rPr>
        <sz val="10"/>
        <color rgb="FF1F2933"/>
        <rFont val="Noto Sans CJK SC"/>
        <charset val="134"/>
      </rPr>
      <t>）。</t>
    </r>
  </si>
  <si>
    <t>悬停里的细条</t>
  </si>
  <si>
    <r>
      <rPr>
        <sz val="10"/>
        <color rgb="FF1F2933"/>
        <rFont val="Noto Sans CJK SC"/>
        <charset val="134"/>
      </rPr>
      <t>数字原值与上限（</t>
    </r>
    <r>
      <rPr>
        <sz val="10"/>
        <color rgb="FF1F2933"/>
        <rFont val="微软雅黑"/>
        <charset val="1"/>
      </rPr>
      <t xml:space="preserve">catalog </t>
    </r>
    <r>
      <rPr>
        <sz val="10"/>
        <color rgb="FF1F2933"/>
        <rFont val="Noto Sans CJK SC"/>
        <charset val="134"/>
      </rPr>
      <t xml:space="preserve">的 </t>
    </r>
    <r>
      <rPr>
        <sz val="10"/>
        <color rgb="FF1F2933"/>
        <rFont val="微软雅黑"/>
        <charset val="1"/>
      </rPr>
      <t>threshold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</si>
  <si>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微软雅黑"/>
        <charset val="1"/>
      </rPr>
      <t xml:space="preserve">185 </t>
    </r>
    <r>
      <rPr>
        <sz val="10"/>
        <color rgb="FF1F2933"/>
        <rFont val="Noto Sans CJK SC"/>
        <charset val="134"/>
      </rPr>
      <t xml:space="preserve">对 </t>
    </r>
    <r>
      <rPr>
        <sz val="10"/>
        <color rgb="FF1F2933"/>
        <rFont val="微软雅黑"/>
        <charset val="1"/>
      </rPr>
      <t>50</t>
    </r>
    <r>
      <rPr>
        <sz val="10"/>
        <color rgb="FF1F2933"/>
        <rFont val="Noto Sans CJK SC"/>
        <charset val="134"/>
      </rPr>
      <t xml:space="preserve">：绿 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 xml:space="preserve">格红 </t>
    </r>
    <r>
      <rPr>
        <sz val="10"/>
        <color rgb="FF1F2933"/>
        <rFont val="微软雅黑"/>
        <charset val="1"/>
      </rPr>
      <t xml:space="preserve">15 </t>
    </r>
    <r>
      <rPr>
        <sz val="10"/>
        <color rgb="FF1F2933"/>
        <rFont val="Noto Sans CJK SC"/>
        <charset val="134"/>
      </rPr>
      <t>格；</t>
    </r>
    <r>
      <rPr>
        <sz val="10"/>
        <color rgb="FF1F2933"/>
        <rFont val="微软雅黑"/>
        <charset val="1"/>
      </rPr>
      <t xml:space="preserve">49 </t>
    </r>
    <r>
      <rPr>
        <sz val="10"/>
        <color rgb="FF1F2933"/>
        <rFont val="Noto Sans CJK SC"/>
        <charset val="134"/>
      </rPr>
      <t xml:space="preserve">对 </t>
    </r>
    <r>
      <rPr>
        <sz val="10"/>
        <color rgb="FF1F2933"/>
        <rFont val="微软雅黑"/>
        <charset val="1"/>
      </rPr>
      <t>50</t>
    </r>
    <r>
      <rPr>
        <sz val="10"/>
        <color rgb="FF1F2933"/>
        <rFont val="Noto Sans CJK SC"/>
        <charset val="134"/>
      </rPr>
      <t>：绿满格</t>
    </r>
  </si>
  <si>
    <r>
      <rPr>
        <sz val="10"/>
        <color rgb="FF1F2933"/>
        <rFont val="Noto Sans CJK SC"/>
        <charset val="134"/>
      </rPr>
      <t xml:space="preserve">超限时绿段是上限占实际的比例，其余红；没超限时绿段是已用掉上限的比例，其余灰。颜色靠 </t>
    </r>
    <r>
      <rPr>
        <sz val="10"/>
        <color rgb="FF1F2933"/>
        <rFont val="微软雅黑"/>
        <charset val="1"/>
      </rPr>
      <t xml:space="preserve">span </t>
    </r>
    <r>
      <rPr>
        <sz val="10"/>
        <color rgb="FF1F2933"/>
        <rFont val="Noto Sans CJK SC"/>
        <charset val="134"/>
      </rPr>
      <t xml:space="preserve">着色，编辑器只保留 </t>
    </r>
    <r>
      <rPr>
        <sz val="10"/>
        <color rgb="FF1F2933"/>
        <rFont val="微软雅黑"/>
        <charset val="1"/>
      </rPr>
      <t>color</t>
    </r>
    <r>
      <rPr>
        <sz val="10"/>
        <color rgb="FF1F2933"/>
        <rFont val="Noto Sans CJK SC"/>
        <charset val="134"/>
      </rPr>
      <t>。</t>
    </r>
  </si>
  <si>
    <t>本函数命中了哪条规则</t>
  </si>
  <si>
    <t>问题条目按函数名与起始行归属</t>
  </si>
  <si>
    <t>无额外开销</t>
  </si>
  <si>
    <t>从已有结果里匹配即可。</t>
  </si>
  <si>
    <t>③ 文件状态栏
（底栏，跟随当前打开的文件）</t>
  </si>
  <si>
    <t>底栏文字</t>
  </si>
  <si>
    <r>
      <rPr>
        <sz val="10"/>
        <color rgb="FF1F2933"/>
        <rFont val="Noto Sans CJK SC"/>
        <charset val="134"/>
      </rPr>
      <t xml:space="preserve">本文件的问题总数，再接函数达标 </t>
    </r>
    <r>
      <rPr>
        <sz val="10"/>
        <color rgb="FF1F2933"/>
        <rFont val="微软雅黑"/>
        <charset val="1"/>
      </rPr>
      <t xml:space="preserve">rules.conformity.function </t>
    </r>
    <r>
      <rPr>
        <sz val="10"/>
        <color rgb="FF1F2933"/>
        <rFont val="Noto Sans CJK SC"/>
        <charset val="134"/>
      </rPr>
      <t>的分子分母</t>
    </r>
  </si>
  <si>
    <t>本文件</t>
  </si>
  <si>
    <r>
      <rPr>
        <sz val="10"/>
        <color rgb="FF1F2933"/>
        <rFont val="Noto Sans CJK SC"/>
        <charset val="134"/>
      </rPr>
      <t>有问题：「</t>
    </r>
    <r>
      <rPr>
        <sz val="10"/>
        <color rgb="FF1F2933"/>
        <rFont val="微软雅黑"/>
        <charset val="1"/>
      </rPr>
      <t xml:space="preserve">3 </t>
    </r>
    <r>
      <rPr>
        <sz val="10"/>
        <color rgb="FF1F2933"/>
        <rFont val="Noto Sans CJK SC"/>
        <charset val="134"/>
      </rPr>
      <t xml:space="preserve">个问题 </t>
    </r>
    <r>
      <rPr>
        <sz val="10"/>
        <color rgb="FF1F2933"/>
        <rFont val="微软雅黑"/>
        <charset val="1"/>
      </rPr>
      <t xml:space="preserve">| </t>
    </r>
    <r>
      <rPr>
        <sz val="10"/>
        <color rgb="FF1F2933"/>
        <rFont val="Noto Sans CJK SC"/>
        <charset val="134"/>
      </rPr>
      <t xml:space="preserve">函数达标 </t>
    </r>
    <r>
      <rPr>
        <sz val="10"/>
        <color rgb="FF1F2933"/>
        <rFont val="微软雅黑"/>
        <charset val="1"/>
      </rPr>
      <t>47/48</t>
    </r>
    <r>
      <rPr>
        <sz val="10"/>
        <color rgb="FF1F2933"/>
        <rFont val="Noto Sans CJK SC"/>
        <charset val="134"/>
      </rPr>
      <t>」；没问题：只显示「达标」</t>
    </r>
  </si>
  <si>
    <t>没问题的文件不摆数字，避免让人自己判断这个数好不好。是哪些问题放悬停，底栏才不会随问题种类变长。</t>
  </si>
  <si>
    <t>悬停：问题种类</t>
  </si>
  <si>
    <t>本文件的规则命中按规则归类，顺序同规则目录</t>
  </si>
  <si>
    <r>
      <rPr>
        <sz val="10"/>
        <color rgb="FF1F2933"/>
        <rFont val="Noto Sans CJK SC"/>
        <charset val="134"/>
      </rPr>
      <t xml:space="preserve">函数过长 </t>
    </r>
    <r>
      <rPr>
        <sz val="10"/>
        <color rgb="FF1F2933"/>
        <rFont val="微软雅黑"/>
        <charset val="1"/>
      </rPr>
      <t xml:space="preserve">1 · unsafe </t>
    </r>
    <r>
      <rPr>
        <sz val="10"/>
        <color rgb="FF1F2933"/>
        <rFont val="Noto Sans CJK SC"/>
        <charset val="134"/>
      </rPr>
      <t xml:space="preserve">使用 </t>
    </r>
    <r>
      <rPr>
        <sz val="10"/>
        <color rgb="FF1F2933"/>
        <rFont val="微软雅黑"/>
        <charset val="1"/>
      </rPr>
      <t xml:space="preserve">1 · </t>
    </r>
    <r>
      <rPr>
        <sz val="10"/>
        <color rgb="FF1F2933"/>
        <rFont val="Noto Sans CJK SC"/>
        <charset val="134"/>
      </rPr>
      <t xml:space="preserve">函数复杂度过高 </t>
    </r>
    <r>
      <rPr>
        <sz val="10"/>
        <color rgb="FF1F2933"/>
        <rFont val="微软雅黑"/>
        <charset val="1"/>
      </rPr>
      <t>1</t>
    </r>
  </si>
  <si>
    <t>每个种类是一个链接，点击去到该种类的问题。逐条位置不在悬停里列，交给 ① 诊断。</t>
  </si>
  <si>
    <t>悬停：指标画像</t>
  </si>
  <si>
    <r>
      <rPr>
        <sz val="10"/>
        <color rgb="FF1F2933"/>
        <rFont val="Noto Sans CJK SC"/>
        <charset val="134"/>
      </rPr>
      <t xml:space="preserve">指标目录里声明了 </t>
    </r>
    <r>
      <rPr>
        <sz val="10"/>
        <color rgb="FF1F2933"/>
        <rFont val="微软雅黑"/>
        <charset val="1"/>
      </rPr>
      <t>profile</t>
    </r>
    <r>
      <rPr>
        <sz val="10"/>
        <color rgb="FF1F2933"/>
        <rFont val="Noto Sans CJK SC"/>
        <charset val="134"/>
      </rPr>
      <t>（行序与行名）的指标，本文件与工作区并排</t>
    </r>
  </si>
  <si>
    <t>本文件、工作区</t>
  </si>
  <si>
    <r>
      <rPr>
        <sz val="10"/>
        <color rgb="FF1F2933"/>
        <rFont val="Noto Sans CJK SC"/>
        <charset val="134"/>
      </rPr>
      <t xml:space="preserve">函数达标 </t>
    </r>
    <r>
      <rPr>
        <sz val="10"/>
        <color rgb="FF1F2933"/>
        <rFont val="微软雅黑"/>
        <charset val="1"/>
      </rPr>
      <t>97.9%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47/48</t>
    </r>
    <r>
      <rPr>
        <sz val="10"/>
        <color rgb="FF1F2933"/>
        <rFont val="Noto Sans CJK SC"/>
        <charset val="134"/>
      </rPr>
      <t xml:space="preserve">）对 </t>
    </r>
    <r>
      <rPr>
        <sz val="10"/>
        <color rgb="FF1F2933"/>
        <rFont val="微软雅黑"/>
        <charset val="1"/>
      </rPr>
      <t>98.3%</t>
    </r>
    <r>
      <rPr>
        <sz val="10"/>
        <color rgb="FF1F2933"/>
        <rFont val="Noto Sans CJK SC"/>
        <charset val="134"/>
      </rPr>
      <t xml:space="preserve">；平均函数代码行 </t>
    </r>
    <r>
      <rPr>
        <sz val="10"/>
        <color rgb="FF1F2933"/>
        <rFont val="微软雅黑"/>
        <charset val="1"/>
      </rPr>
      <t xml:space="preserve">19.7 </t>
    </r>
    <r>
      <rPr>
        <sz val="10"/>
        <color rgb="FF1F2933"/>
        <rFont val="Noto Sans CJK SC"/>
        <charset val="134"/>
      </rPr>
      <t xml:space="preserve">行对 </t>
    </r>
    <r>
      <rPr>
        <sz val="10"/>
        <color rgb="FF1F2933"/>
        <rFont val="微软雅黑"/>
        <charset val="1"/>
      </rPr>
      <t xml:space="preserve">8.52 </t>
    </r>
    <r>
      <rPr>
        <sz val="10"/>
        <color rgb="FF1F2933"/>
        <rFont val="Noto Sans CJK SC"/>
        <charset val="134"/>
      </rPr>
      <t xml:space="preserve">行；平均圈复杂度 </t>
    </r>
    <r>
      <rPr>
        <sz val="10"/>
        <color rgb="FF1F2933"/>
        <rFont val="微软雅黑"/>
        <charset val="1"/>
      </rPr>
      <t xml:space="preserve">4.52 </t>
    </r>
    <r>
      <rPr>
        <sz val="10"/>
        <color rgb="FF1F2933"/>
        <rFont val="Noto Sans CJK SC"/>
        <charset val="134"/>
      </rPr>
      <t xml:space="preserve">对 </t>
    </r>
    <r>
      <rPr>
        <sz val="10"/>
        <color rgb="FF1F2933"/>
        <rFont val="微软雅黑"/>
        <charset val="1"/>
      </rPr>
      <t>2.10</t>
    </r>
  </si>
  <si>
    <t>与问题不挂钩，没问题的文件悬停里也是这张表。本文件没有值的指标不显示。行序、行名、增减都在目录里改，不动代码。</t>
  </si>
  <si>
    <t>悬停末尾</t>
  </si>
  <si>
    <r>
      <rPr>
        <sz val="10"/>
        <color rgb="FF1F2933"/>
        <rFont val="Noto Sans CJK SC"/>
        <charset val="134"/>
      </rPr>
      <t>这份数据取自哪次分析（</t>
    </r>
    <r>
      <rPr>
        <sz val="10"/>
        <color rgb="FF1F2933"/>
        <rFont val="微软雅黑"/>
        <charset val="1"/>
      </rPr>
      <t>producedAt</t>
    </r>
    <r>
      <rPr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</si>
  <si>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取自 </t>
    </r>
    <r>
      <rPr>
        <sz val="10"/>
        <color rgb="FF1F2933"/>
        <rFont val="微软雅黑"/>
        <charset val="1"/>
      </rPr>
      <t xml:space="preserve">14:32 </t>
    </r>
    <r>
      <rPr>
        <sz val="10"/>
        <color rgb="FF1F2933"/>
        <rFont val="Noto Sans CJK SC"/>
        <charset val="134"/>
      </rPr>
      <t>的保存分析</t>
    </r>
  </si>
  <si>
    <t>与函数悬停一致。</t>
  </si>
  <si>
    <t>画像的十行</t>
  </si>
  <si>
    <r>
      <rPr>
        <sz val="10"/>
        <color rgb="FF1F2933"/>
        <rFont val="微软雅黑"/>
        <charset val="1"/>
      </rPr>
      <t>rules.conformity.function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function.lines.average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function.lines.huge_ratio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complexity.cyclomatic.average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complexity.cyclomatic.huge_ratio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complexity.cca.average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complexity.cca.huge_ratio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size.nbnc_lines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safety.unsafe_density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redundancy.commented_code_density</t>
    </r>
  </si>
  <si>
    <r>
      <rPr>
        <sz val="10"/>
        <color rgb="FF1F2933"/>
        <rFont val="微软雅黑"/>
        <charset val="1"/>
      </rPr>
      <t xml:space="preserve">10 </t>
    </r>
    <r>
      <rPr>
        <sz val="10"/>
        <color rgb="FF1F2933"/>
        <rFont val="Noto Sans CJK SC"/>
        <charset val="134"/>
      </rPr>
      <t>行，见「实测数据」页</t>
    </r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</si>
  <si>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复杂度作校正参考，与圈复杂度并列。单文件输入时，本文件的规模就是这个文件的行数。</t>
    </r>
  </si>
  <si>
    <t>点击底栏</t>
  </si>
  <si>
    <t>编辑器里已有的诊断（按规则代号过滤）</t>
  </si>
  <si>
    <t>一个问题：直接跳；多个：按种类分组的列表，方向键预览，回车过去</t>
  </si>
  <si>
    <t>位置与文案取自诊断，与问题面板一致。没有问题时点击打开工作区面板。</t>
  </si>
  <si>
    <t>④ 侧栏
（工作区概览 与「问题」视图，整个工作区）</t>
  </si>
  <si>
    <r>
      <rPr>
        <b/>
        <sz val="10"/>
        <color rgb="FF1F2933"/>
        <rFont val="Noto Sans CJK SC"/>
        <charset val="134"/>
      </rPr>
      <t>工作区规模、</t>
    </r>
    <r>
      <rPr>
        <b/>
        <sz val="10"/>
        <color rgb="FF1F2933"/>
        <rFont val="微软雅黑"/>
        <charset val="1"/>
      </rPr>
      <t xml:space="preserve">unsafe </t>
    </r>
    <r>
      <rPr>
        <b/>
        <sz val="10"/>
        <color rgb="FF1F2933"/>
        <rFont val="Noto Sans CJK SC"/>
        <charset val="134"/>
      </rPr>
      <t>密度</t>
    </r>
  </si>
  <si>
    <r>
      <rPr>
        <sz val="10"/>
        <color rgb="FF1F2933"/>
        <rFont val="微软雅黑"/>
        <charset val="1"/>
      </rPr>
      <t>size.nbnc_lines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safety.unsafe_density</t>
    </r>
  </si>
  <si>
    <t>工作区</t>
  </si>
  <si>
    <r>
      <rPr>
        <sz val="10"/>
        <color rgb="FF1F2933"/>
        <rFont val="微软雅黑"/>
        <charset val="1"/>
      </rPr>
      <t xml:space="preserve">40,756 </t>
    </r>
    <r>
      <rPr>
        <sz val="10"/>
        <color rgb="FF1F2933"/>
        <rFont val="Noto Sans CJK SC"/>
        <charset val="134"/>
      </rPr>
      <t>行、</t>
    </r>
    <r>
      <rPr>
        <sz val="10"/>
        <color rgb="FF1F2933"/>
        <rFont val="微软雅黑"/>
        <charset val="1"/>
      </rPr>
      <t>0.022%</t>
    </r>
  </si>
  <si>
    <t>平均文件行数、超大文件比例</t>
  </si>
  <si>
    <r>
      <rPr>
        <sz val="10"/>
        <color rgb="FF1F2933"/>
        <rFont val="微软雅黑"/>
        <charset val="1"/>
      </rPr>
      <t>file.lines.average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file.lines.huge_ratio</t>
    </r>
  </si>
  <si>
    <r>
      <rPr>
        <sz val="10"/>
        <color rgb="FF1F2933"/>
        <rFont val="微软雅黑"/>
        <charset val="1"/>
      </rPr>
      <t xml:space="preserve">370.5 </t>
    </r>
    <r>
      <rPr>
        <sz val="10"/>
        <color rgb="FF1F2933"/>
        <rFont val="Noto Sans CJK SC"/>
        <charset val="134"/>
      </rPr>
      <t>行、</t>
    </r>
    <r>
      <rPr>
        <sz val="10"/>
        <color rgb="FF1F2933"/>
        <rFont val="微软雅黑"/>
        <charset val="1"/>
      </rPr>
      <t>1.8%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2/110</t>
    </r>
    <r>
      <rPr>
        <sz val="10"/>
        <color rgb="FF1F2933"/>
        <rFont val="Noto Sans CJK SC"/>
        <charset val="134"/>
      </rPr>
      <t>）</t>
    </r>
  </si>
  <si>
    <t>函数：平均行数、平均圈复杂度、两个超限比例</t>
  </si>
  <si>
    <r>
      <rPr>
        <sz val="10"/>
        <color rgb="FF1F2933"/>
        <rFont val="微软雅黑"/>
        <charset val="1"/>
      </rPr>
      <t>function.lines.average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complexity.cyclomatic.average</t>
    </r>
    <r>
      <rPr>
        <sz val="10"/>
        <color rgb="FF1F2933"/>
        <rFont val="Noto Sans CJK SC"/>
        <charset val="134"/>
      </rPr>
      <t xml:space="preserve">、两个 </t>
    </r>
    <r>
      <rPr>
        <sz val="10"/>
        <color rgb="FF1F2933"/>
        <rFont val="微软雅黑"/>
        <charset val="1"/>
      </rPr>
      <t>huge_ratio</t>
    </r>
  </si>
  <si>
    <r>
      <rPr>
        <sz val="10"/>
        <color rgb="FF1F2933"/>
        <rFont val="微软雅黑"/>
        <charset val="1"/>
      </rPr>
      <t xml:space="preserve">8.52 </t>
    </r>
    <r>
      <rPr>
        <sz val="10"/>
        <color rgb="FF1F2933"/>
        <rFont val="Noto Sans CJK SC"/>
        <charset val="134"/>
      </rPr>
      <t>行、</t>
    </r>
    <r>
      <rPr>
        <sz val="10"/>
        <color rgb="FF1F2933"/>
        <rFont val="微软雅黑"/>
        <charset val="1"/>
      </rPr>
      <t>2.10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1.57%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38/2,414</t>
    </r>
    <r>
      <rPr>
        <sz val="10"/>
        <color rgb="FF1F2933"/>
        <rFont val="Noto Sans CJK SC"/>
        <charset val="134"/>
      </rPr>
      <t>）、</t>
    </r>
    <r>
      <rPr>
        <sz val="10"/>
        <color rgb="FF1F2933"/>
        <rFont val="微软雅黑"/>
        <charset val="1"/>
      </rPr>
      <t>0.25%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6/2,414</t>
    </r>
    <r>
      <rPr>
        <sz val="10"/>
        <color rgb="FF1F2933"/>
        <rFont val="Noto Sans CJK SC"/>
        <charset val="134"/>
      </rPr>
      <t>）</t>
    </r>
  </si>
  <si>
    <r>
      <rPr>
        <b/>
        <sz val="10"/>
        <color rgb="FF1F2933"/>
        <rFont val="Noto Sans CJK SC"/>
        <charset val="134"/>
      </rPr>
      <t xml:space="preserve">平均 </t>
    </r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复杂度、</t>
    </r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超限比例</t>
    </r>
  </si>
  <si>
    <r>
      <rPr>
        <sz val="10"/>
        <color rgb="FF1F2933"/>
        <rFont val="微软雅黑"/>
        <charset val="1"/>
      </rPr>
      <t>complexity.cca.average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complexity.cca.huge_ratio</t>
    </r>
  </si>
  <si>
    <r>
      <rPr>
        <sz val="10"/>
        <color rgb="FF1F2933"/>
        <rFont val="微软雅黑"/>
        <charset val="1"/>
      </rPr>
      <t>2.02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0.21%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>5/2,414</t>
    </r>
    <r>
      <rPr>
        <sz val="10"/>
        <color rgb="FF1F2933"/>
        <rFont val="Noto Sans CJK SC"/>
        <charset val="134"/>
      </rPr>
      <t>）</t>
    </r>
  </si>
  <si>
    <t>与圈复杂度并列，作校正参考。</t>
  </si>
  <si>
    <t>代码重复率、整文件重复率</t>
  </si>
  <si>
    <r>
      <rPr>
        <sz val="10"/>
        <color rgb="FF1F2933"/>
        <rFont val="微软雅黑"/>
        <charset val="1"/>
      </rPr>
      <t>duplication.code_ratio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duplication.file_exact_ratio</t>
    </r>
  </si>
  <si>
    <r>
      <rPr>
        <sz val="10"/>
        <color rgb="FF1F2933"/>
        <rFont val="微软雅黑"/>
        <charset val="1"/>
      </rPr>
      <t>5.53%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0</t>
    </r>
  </si>
  <si>
    <t>跨文件重复只有工作区范围能算。</t>
  </si>
  <si>
    <t>注释代码密度、超大目录比例</t>
  </si>
  <si>
    <r>
      <rPr>
        <sz val="10"/>
        <color rgb="FF1F2933"/>
        <rFont val="微软雅黑"/>
        <charset val="1"/>
      </rPr>
      <t>redundancy.commented_code_density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directory.huge_ratio</t>
    </r>
  </si>
  <si>
    <r>
      <rPr>
        <sz val="10"/>
        <color rgb="FF1F2933"/>
        <rFont val="微软雅黑"/>
        <charset val="1"/>
      </rPr>
      <t xml:space="preserve">0.098 </t>
    </r>
    <r>
      <rPr>
        <sz val="10"/>
        <color rgb="FF1F2933"/>
        <rFont val="Noto Sans CJK SC"/>
        <charset val="134"/>
      </rPr>
      <t xml:space="preserve">段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千行、</t>
    </r>
    <r>
      <rPr>
        <sz val="10"/>
        <color rgb="FF1F2933"/>
        <rFont val="微软雅黑"/>
        <charset val="1"/>
      </rPr>
      <t>0%</t>
    </r>
    <r>
      <rPr>
        <sz val="10"/>
        <color rgb="FF1F2933"/>
        <rFont val="Noto Sans CJK SC"/>
        <charset val="134"/>
      </rPr>
      <t>（</t>
    </r>
    <r>
      <rPr>
        <sz val="10"/>
        <color rgb="FF1F2933"/>
        <rFont val="微软雅黑"/>
        <charset val="1"/>
      </rPr>
      <t xml:space="preserve">0/60 </t>
    </r>
    <r>
      <rPr>
        <sz val="10"/>
        <color rgb="FF1F2933"/>
        <rFont val="Noto Sans CJK SC"/>
        <charset val="134"/>
      </rPr>
      <t>个目录）</t>
    </r>
  </si>
  <si>
    <t>不摆达标率</t>
  </si>
  <si>
    <r>
      <rPr>
        <sz val="10"/>
        <color rgb="FF1F2933"/>
        <rFont val="Noto Sans CJK SC"/>
        <charset val="134"/>
      </rPr>
      <t xml:space="preserve">文件达标率 </t>
    </r>
    <r>
      <rPr>
        <sz val="10"/>
        <color rgb="FF1F2933"/>
        <rFont val="微软雅黑"/>
        <charset val="1"/>
      </rPr>
      <t xml:space="preserve">rules.conformity.total </t>
    </r>
    <r>
      <rPr>
        <sz val="10"/>
        <color rgb="FF1F2933"/>
        <rFont val="Noto Sans CJK SC"/>
        <charset val="134"/>
      </rPr>
      <t>取消选入；函数达标率只在 ③ 出现</t>
    </r>
  </si>
  <si>
    <t>面板给的是门禁结论与按规则的分布，不是要读者自己判断好坏的比例（见「指标清单」的「产品取舍」）。</t>
  </si>
  <si>
    <t>「问题」视图：全部问题</t>
  </si>
  <si>
    <t>快照里的规则命中（与诊断同源），按规则分类、按文件分组</t>
  </si>
  <si>
    <r>
      <rPr>
        <sz val="10"/>
        <color rgb="FF1F2933"/>
        <rFont val="微软雅黑"/>
        <charset val="1"/>
      </rPr>
      <t xml:space="preserve">51 </t>
    </r>
    <r>
      <rPr>
        <sz val="10"/>
        <color rgb="FF1F2933"/>
        <rFont val="Noto Sans CJK SC"/>
        <charset val="134"/>
      </rPr>
      <t xml:space="preserve">条，分布在 </t>
    </r>
    <r>
      <rPr>
        <sz val="10"/>
        <color rgb="FF1F2933"/>
        <rFont val="微软雅黑"/>
        <charset val="1"/>
      </rPr>
      <t xml:space="preserve">25 </t>
    </r>
    <r>
      <rPr>
        <sz val="10"/>
        <color rgb="FF1F2933"/>
        <rFont val="Noto Sans CJK SC"/>
        <charset val="134"/>
      </rPr>
      <t xml:space="preserve">个文件；函数过长 </t>
    </r>
    <r>
      <rPr>
        <sz val="10"/>
        <color rgb="FF1F2933"/>
        <rFont val="微软雅黑"/>
        <charset val="1"/>
      </rPr>
      <t>38</t>
    </r>
    <r>
      <rPr>
        <sz val="10"/>
        <color rgb="FF1F2933"/>
        <rFont val="Noto Sans CJK SC"/>
        <charset val="134"/>
      </rPr>
      <t xml:space="preserve">、复杂度过高 </t>
    </r>
    <r>
      <rPr>
        <sz val="10"/>
        <color rgb="FF1F2933"/>
        <rFont val="微软雅黑"/>
        <charset val="1"/>
      </rPr>
      <t>6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unsafe 5</t>
    </r>
    <r>
      <rPr>
        <sz val="10"/>
        <color rgb="FF1F2933"/>
        <rFont val="Noto Sans CJK SC"/>
        <charset val="134"/>
      </rPr>
      <t xml:space="preserve">、文件过大 </t>
    </r>
    <r>
      <rPr>
        <sz val="10"/>
        <color rgb="FF1F2933"/>
        <rFont val="微软雅黑"/>
        <charset val="1"/>
      </rPr>
      <t>2</t>
    </r>
  </si>
  <si>
    <t>顶部按规则筛选，文件行可折叠，点一条跳到位置；筛选与折叠会记住。原生问题面板不能这样分类，所以另开视图。</t>
  </si>
  <si>
    <t>⑤ 门禁栏
（工作区面板顶部与底栏）</t>
  </si>
  <si>
    <t>门禁结论与阻塞条目数</t>
  </si>
  <si>
    <r>
      <rPr>
        <sz val="10"/>
        <color rgb="FF1F2933"/>
        <rFont val="微软雅黑"/>
        <charset val="1"/>
      </rPr>
      <t>gate.status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gate.blocking_findings</t>
    </r>
  </si>
  <si>
    <r>
      <rPr>
        <sz val="10"/>
        <color rgb="FF1F2933"/>
        <rFont val="Noto Sans CJK SC"/>
        <charset val="134"/>
      </rPr>
      <t>已阻塞，</t>
    </r>
    <r>
      <rPr>
        <sz val="10"/>
        <color rgb="FF1F2933"/>
        <rFont val="微软雅黑"/>
        <charset val="1"/>
      </rPr>
      <t xml:space="preserve">52 </t>
    </r>
    <r>
      <rPr>
        <sz val="10"/>
        <color rgb="FF1F2933"/>
        <rFont val="Noto Sans CJK SC"/>
        <charset val="134"/>
      </rPr>
      <t>条</t>
    </r>
  </si>
  <si>
    <t>问题按规则分布</t>
  </si>
  <si>
    <t>gate.findings_by_rule</t>
  </si>
  <si>
    <r>
      <rPr>
        <sz val="10"/>
        <color rgb="FF1F2933"/>
        <rFont val="Noto Sans CJK SC"/>
        <charset val="134"/>
      </rPr>
      <t xml:space="preserve">过长 </t>
    </r>
    <r>
      <rPr>
        <sz val="10"/>
        <color rgb="FF1F2933"/>
        <rFont val="微软雅黑"/>
        <charset val="1"/>
      </rPr>
      <t>38</t>
    </r>
    <r>
      <rPr>
        <sz val="10"/>
        <color rgb="FF1F2933"/>
        <rFont val="Noto Sans CJK SC"/>
        <charset val="134"/>
      </rPr>
      <t xml:space="preserve">、复杂 </t>
    </r>
    <r>
      <rPr>
        <sz val="10"/>
        <color rgb="FF1F2933"/>
        <rFont val="微软雅黑"/>
        <charset val="1"/>
      </rPr>
      <t>6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unsafe 5</t>
    </r>
    <r>
      <rPr>
        <sz val="10"/>
        <color rgb="FF1F2933"/>
        <rFont val="Noto Sans CJK SC"/>
        <charset val="134"/>
      </rPr>
      <t xml:space="preserve">、文件过大 </t>
    </r>
    <r>
      <rPr>
        <sz val="10"/>
        <color rgb="FF1F2933"/>
        <rFont val="微软雅黑"/>
        <charset val="1"/>
      </rPr>
      <t>2</t>
    </r>
    <r>
      <rPr>
        <sz val="10"/>
        <color rgb="FF1F2933"/>
        <rFont val="Noto Sans CJK SC"/>
        <charset val="134"/>
      </rPr>
      <t xml:space="preserve">、目标未达成 </t>
    </r>
    <r>
      <rPr>
        <sz val="10"/>
        <color rgb="FF1F2933"/>
        <rFont val="微软雅黑"/>
        <charset val="1"/>
      </rPr>
      <t>1</t>
    </r>
  </si>
  <si>
    <t>代替按质量维度切分的遵从度。</t>
  </si>
  <si>
    <r>
      <rPr>
        <b/>
        <sz val="10"/>
        <color rgb="FF1F2933"/>
        <rFont val="微软雅黑"/>
        <charset val="1"/>
      </rPr>
      <t xml:space="preserve">7 </t>
    </r>
    <r>
      <rPr>
        <b/>
        <sz val="10"/>
        <color rgb="FF1F2933"/>
        <rFont val="Noto Sans CJK SC"/>
        <charset val="134"/>
      </rPr>
      <t>项质量目标</t>
    </r>
  </si>
  <si>
    <r>
      <rPr>
        <sz val="10"/>
        <color rgb="FF1F2933"/>
        <rFont val="微软雅黑"/>
        <charset val="1"/>
      </rPr>
      <t xml:space="preserve">quality_targets </t>
    </r>
    <r>
      <rPr>
        <sz val="10"/>
        <color rgb="FF1F2933"/>
        <rFont val="Noto Sans CJK SC"/>
        <charset val="134"/>
      </rPr>
      <t xml:space="preserve">的 </t>
    </r>
    <r>
      <rPr>
        <sz val="10"/>
        <color rgb="FF1F2933"/>
        <rFont val="微软雅黑"/>
        <charset val="1"/>
      </rPr>
      <t>current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target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status</t>
    </r>
  </si>
  <si>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>项有基线可判：</t>
    </r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>项达标，平均文件行数未达标（</t>
    </r>
    <r>
      <rPr>
        <sz val="10"/>
        <color rgb="FF1F2933"/>
        <rFont val="微软雅黑"/>
        <charset val="1"/>
      </rPr>
      <t>370.5 &gt; 300</t>
    </r>
    <r>
      <rPr>
        <sz val="10"/>
        <color rgb="FF1F2933"/>
        <rFont val="Noto Sans CJK SC"/>
        <charset val="134"/>
      </rPr>
      <t>）；代码规模增长缺基线，不计达标也不计超标</t>
    </r>
  </si>
  <si>
    <r>
      <rPr>
        <sz val="10"/>
        <color rgb="FF1F2933"/>
        <rFont val="微软雅黑"/>
        <charset val="1"/>
      </rPr>
      <t xml:space="preserve">BM005 </t>
    </r>
    <r>
      <rPr>
        <sz val="10"/>
        <color rgb="FF1F2933"/>
        <rFont val="Noto Sans CJK SC"/>
        <charset val="134"/>
      </rPr>
      <t>不做诊断，改放这里。面板显示「</t>
    </r>
    <r>
      <rPr>
        <sz val="10"/>
        <color rgb="FF1F2933"/>
        <rFont val="微软雅黑"/>
        <charset val="1"/>
      </rPr>
      <t xml:space="preserve">5 / 6 </t>
    </r>
    <r>
      <rPr>
        <sz val="10"/>
        <color rgb="FF1F2933"/>
        <rFont val="Noto Sans CJK SC"/>
        <charset val="134"/>
      </rPr>
      <t>达标」。</t>
    </r>
  </si>
  <si>
    <t>规则与质量目标：选入指标的对应关系</t>
  </si>
  <si>
    <r>
      <rPr>
        <sz val="9"/>
        <color rgb="FF595959"/>
        <rFont val="Noto Sans CJK SC"/>
        <charset val="134"/>
      </rPr>
      <t>规则（</t>
    </r>
    <r>
      <rPr>
        <sz val="9"/>
        <color rgb="FF595959"/>
        <rFont val="微软雅黑"/>
        <charset val="1"/>
      </rPr>
      <t>BM001~BM007</t>
    </r>
    <r>
      <rPr>
        <sz val="9"/>
        <color rgb="FF595959"/>
        <rFont val="Noto Sans CJK SC"/>
        <charset val="134"/>
      </rPr>
      <t>）给出带位置的诊断，质量目标（</t>
    </r>
    <r>
      <rPr>
        <sz val="9"/>
        <color rgb="FF595959"/>
        <rFont val="微软雅黑"/>
        <charset val="1"/>
      </rPr>
      <t>quality_targets</t>
    </r>
    <r>
      <rPr>
        <sz val="9"/>
        <color rgb="FF595959"/>
        <rFont val="Noto Sans CJK SC"/>
        <charset val="134"/>
      </rPr>
      <t>）给出项目级的达标判定。选入的指标里，被它们使用的会按规则或目标的方式呈现，两者都不使用的只作参考值。下面的数量由「指标清单」页统计。</t>
    </r>
  </si>
  <si>
    <r>
      <rPr>
        <b/>
        <sz val="11"/>
        <color rgb="FF1F4E79"/>
        <rFont val="Noto Sans CJK SC"/>
        <charset val="134"/>
      </rPr>
      <t xml:space="preserve">选入 </t>
    </r>
    <r>
      <rPr>
        <b/>
        <sz val="11"/>
        <color rgb="FF1F4E79"/>
        <rFont val="微软雅黑"/>
        <charset val="1"/>
      </rPr>
      <t xml:space="preserve">15 </t>
    </r>
    <r>
      <rPr>
        <b/>
        <sz val="11"/>
        <color rgb="FF1F4E79"/>
        <rFont val="Noto Sans CJK SC"/>
        <charset val="134"/>
      </rPr>
      <t>项的构成</t>
    </r>
  </si>
  <si>
    <t>类别</t>
  </si>
  <si>
    <t>有对应规则</t>
  </si>
  <si>
    <r>
      <rPr>
        <sz val="10"/>
        <color rgb="FF1F2933"/>
        <rFont val="Noto Sans CJK SC"/>
        <charset val="134"/>
      </rPr>
      <t xml:space="preserve">其中 </t>
    </r>
    <r>
      <rPr>
        <sz val="10"/>
        <color rgb="FF1F2933"/>
        <rFont val="微软雅黑"/>
        <charset val="1"/>
      </rPr>
      <t xml:space="preserve">rules.conformity.function </t>
    </r>
    <r>
      <rPr>
        <sz val="10"/>
        <color rgb="FF1F2933"/>
        <rFont val="Noto Sans CJK SC"/>
        <charset val="134"/>
      </rPr>
      <t xml:space="preserve">是 </t>
    </r>
    <r>
      <rPr>
        <sz val="10"/>
        <color rgb="FF1F2933"/>
        <rFont val="微软雅黑"/>
        <charset val="1"/>
      </rPr>
      <t>BM001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BM002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 xml:space="preserve">三条规则的达标率汇总（文件达标率 </t>
    </r>
    <r>
      <rPr>
        <sz val="10"/>
        <color rgb="FF1F2933"/>
        <rFont val="微软雅黑"/>
        <charset val="1"/>
      </rPr>
      <t xml:space="preserve">rules.conformity.total </t>
    </r>
    <r>
      <rPr>
        <sz val="10"/>
        <color rgb="FF1F2933"/>
        <rFont val="Noto Sans CJK SC"/>
        <charset val="134"/>
      </rPr>
      <t>已取消选入）</t>
    </r>
  </si>
  <si>
    <t>有对应质量目标</t>
  </si>
  <si>
    <t>两者兼有</t>
  </si>
  <si>
    <r>
      <rPr>
        <sz val="10"/>
        <color rgb="FF1F2933"/>
        <rFont val="Noto Sans CJK SC"/>
        <charset val="134"/>
      </rPr>
      <t>代码重复率、整文件重复率、</t>
    </r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密度</t>
    </r>
  </si>
  <si>
    <t>只作参考值</t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</si>
  <si>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两项、注释代码密度、超大目录比例</t>
    </r>
  </si>
  <si>
    <r>
      <rPr>
        <sz val="10"/>
        <color rgb="FF1F2933"/>
        <rFont val="Noto Sans CJK SC"/>
        <charset val="134"/>
      </rPr>
      <t xml:space="preserve">有规则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 xml:space="preserve">有目标 − 两者兼有 </t>
    </r>
    <r>
      <rPr>
        <sz val="10"/>
        <color rgb="FF1F2933"/>
        <rFont val="微软雅黑"/>
        <charset val="1"/>
      </rPr>
      <t xml:space="preserve">+ </t>
    </r>
    <r>
      <rPr>
        <sz val="10"/>
        <color rgb="FF1F2933"/>
        <rFont val="Noto Sans CJK SC"/>
        <charset val="134"/>
      </rPr>
      <t>只作参考值 应等于选入总数</t>
    </r>
  </si>
  <si>
    <t>七条规则</t>
  </si>
  <si>
    <t>编号</t>
  </si>
  <si>
    <t>对应指标</t>
  </si>
  <si>
    <r>
      <rPr>
        <b/>
        <sz val="10"/>
        <color rgb="FFFFFFFF"/>
        <rFont val="微软雅黑"/>
        <charset val="1"/>
      </rPr>
      <t xml:space="preserve">ripgrep </t>
    </r>
    <r>
      <rPr>
        <b/>
        <sz val="10"/>
        <color rgb="FFFFFFFF"/>
        <rFont val="Noto Sans CJK SC"/>
        <charset val="134"/>
      </rPr>
      <t>实测</t>
    </r>
  </si>
  <si>
    <t>函数</t>
  </si>
  <si>
    <r>
      <rPr>
        <sz val="10"/>
        <color rgb="FF1F2933"/>
        <rFont val="微软雅黑"/>
        <charset val="1"/>
      </rPr>
      <t xml:space="preserve">38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</si>
  <si>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函数体超过 </t>
    </r>
    <r>
      <rPr>
        <sz val="10"/>
        <color rgb="FF1F2933"/>
        <rFont val="微软雅黑"/>
        <charset val="1"/>
      </rPr>
      <t xml:space="preserve">50 </t>
    </r>
    <r>
      <rPr>
        <sz val="10"/>
        <color rgb="FF1F2933"/>
        <rFont val="Noto Sans CJK SC"/>
        <charset val="134"/>
      </rPr>
      <t>行。</t>
    </r>
  </si>
  <si>
    <r>
      <rPr>
        <sz val="10"/>
        <color rgb="FF1F2933"/>
        <rFont val="微软雅黑"/>
        <charset val="1"/>
      </rPr>
      <t xml:space="preserve">6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</si>
  <si>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圈复杂度超过 </t>
    </r>
    <r>
      <rPr>
        <sz val="10"/>
        <color rgb="FF1F2933"/>
        <rFont val="微软雅黑"/>
        <charset val="1"/>
      </rPr>
      <t>20</t>
    </r>
    <r>
      <rPr>
        <sz val="10"/>
        <color rgb="FF1F2933"/>
        <rFont val="Noto Sans CJK SC"/>
        <charset val="134"/>
      </rPr>
      <t>。</t>
    </r>
  </si>
  <si>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使用</t>
    </r>
  </si>
  <si>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区域</t>
    </r>
  </si>
  <si>
    <r>
      <rPr>
        <sz val="10"/>
        <color rgb="FF1F2933"/>
        <rFont val="微软雅黑"/>
        <charset val="1"/>
      </rPr>
      <t xml:space="preserve">5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</si>
  <si>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每个 </t>
    </r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区域一条。</t>
    </r>
  </si>
  <si>
    <r>
      <rPr>
        <sz val="10"/>
        <color rgb="FF1F2933"/>
        <rFont val="微软雅黑"/>
        <charset val="1"/>
      </rPr>
      <t xml:space="preserve">2 </t>
    </r>
    <r>
      <rPr>
        <sz val="10"/>
        <color rgb="FF1F2933"/>
        <rFont val="Noto Sans CJK SC"/>
        <charset val="134"/>
      </rPr>
      <t>条</t>
    </r>
  </si>
  <si>
    <r>
      <rPr>
        <sz val="10"/>
        <color rgb="FF1F2933"/>
        <rFont val="Noto Sans CJK SC"/>
        <charset val="134"/>
      </rPr>
      <t xml:space="preserve">文件超过 </t>
    </r>
    <r>
      <rPr>
        <sz val="10"/>
        <color rgb="FF1F2933"/>
        <rFont val="微软雅黑"/>
        <charset val="1"/>
      </rPr>
      <t xml:space="preserve">2000 </t>
    </r>
    <r>
      <rPr>
        <sz val="10"/>
        <color rgb="FF1F2933"/>
        <rFont val="Noto Sans CJK SC"/>
        <charset val="134"/>
      </rPr>
      <t>行。</t>
    </r>
  </si>
  <si>
    <t>重复代码块</t>
  </si>
  <si>
    <t>重复窗口</t>
  </si>
  <si>
    <t>需先打开重复发现开关。</t>
  </si>
  <si>
    <t>文件完全重复</t>
  </si>
  <si>
    <t>BM005</t>
  </si>
  <si>
    <t>质量目标未达成</t>
  </si>
  <si>
    <t>（无，见下表）</t>
  </si>
  <si>
    <t>项目</t>
  </si>
  <si>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条</t>
    </r>
  </si>
  <si>
    <t>它是质量目标未达成的汇总条目，不做成诊断，改放门禁栏，以免与质量目标重复。</t>
  </si>
  <si>
    <r>
      <rPr>
        <b/>
        <sz val="11"/>
        <color rgb="FF1F4E79"/>
        <rFont val="Noto Sans CJK SC"/>
        <charset val="134"/>
      </rPr>
      <t xml:space="preserve">七项质量目标（均为项目级，数值为 </t>
    </r>
    <r>
      <rPr>
        <b/>
        <sz val="11"/>
        <color rgb="FF1F4E79"/>
        <rFont val="微软雅黑"/>
        <charset val="1"/>
      </rPr>
      <t xml:space="preserve">ripgrep </t>
    </r>
    <r>
      <rPr>
        <b/>
        <sz val="11"/>
        <color rgb="FF1F4E79"/>
        <rFont val="Noto Sans CJK SC"/>
        <charset val="134"/>
      </rPr>
      <t>实测）</t>
    </r>
  </si>
  <si>
    <t>配置字段</t>
  </si>
  <si>
    <t>通俗名称</t>
  </si>
  <si>
    <t>依据指标</t>
  </si>
  <si>
    <t>目标</t>
  </si>
  <si>
    <t>当前值</t>
  </si>
  <si>
    <t>状态</t>
  </si>
  <si>
    <t>max_average_file_lines</t>
  </si>
  <si>
    <t>平均文件行数上限</t>
  </si>
  <si>
    <r>
      <rPr>
        <sz val="10"/>
        <color rgb="FF1F2933"/>
        <rFont val="微软雅黑"/>
        <charset val="1"/>
      </rPr>
      <t xml:space="preserve">≤ 300 </t>
    </r>
    <r>
      <rPr>
        <sz val="10"/>
        <color rgb="FF1F2933"/>
        <rFont val="Noto Sans CJK SC"/>
        <charset val="134"/>
      </rPr>
      <t>行</t>
    </r>
  </si>
  <si>
    <r>
      <rPr>
        <sz val="10"/>
        <color rgb="FF1F2933"/>
        <rFont val="微软雅黑"/>
        <charset val="1"/>
      </rPr>
      <t xml:space="preserve">370.5 </t>
    </r>
    <r>
      <rPr>
        <sz val="10"/>
        <color rgb="FF1F2933"/>
        <rFont val="Noto Sans CJK SC"/>
        <charset val="134"/>
      </rPr>
      <t>行</t>
    </r>
  </si>
  <si>
    <t>未达标</t>
  </si>
  <si>
    <r>
      <rPr>
        <sz val="10"/>
        <color rgb="FF1F2933"/>
        <rFont val="微软雅黑"/>
        <charset val="1"/>
      </rPr>
      <t xml:space="preserve">ripgrep </t>
    </r>
    <r>
      <rPr>
        <sz val="10"/>
        <color rgb="FF1F2933"/>
        <rFont val="Noto Sans CJK SC"/>
        <charset val="134"/>
      </rPr>
      <t xml:space="preserve">唯一未达标的目标，也是那条 </t>
    </r>
    <r>
      <rPr>
        <sz val="10"/>
        <color rgb="FF1F2933"/>
        <rFont val="微软雅黑"/>
        <charset val="1"/>
      </rPr>
      <t xml:space="preserve">BM005 </t>
    </r>
    <r>
      <rPr>
        <sz val="10"/>
        <color rgb="FF1F2933"/>
        <rFont val="Noto Sans CJK SC"/>
        <charset val="134"/>
      </rPr>
      <t>的来源。</t>
    </r>
  </si>
  <si>
    <t>max_average_function_lines</t>
  </si>
  <si>
    <t>平均函数行数上限</t>
  </si>
  <si>
    <r>
      <rPr>
        <sz val="10"/>
        <color rgb="FF1F2933"/>
        <rFont val="微软雅黑"/>
        <charset val="1"/>
      </rPr>
      <t xml:space="preserve">≤ 30 </t>
    </r>
    <r>
      <rPr>
        <sz val="10"/>
        <color rgb="FF1F2933"/>
        <rFont val="Noto Sans CJK SC"/>
        <charset val="134"/>
      </rPr>
      <t>行</t>
    </r>
  </si>
  <si>
    <r>
      <rPr>
        <sz val="10"/>
        <color rgb="FF1F2933"/>
        <rFont val="微软雅黑"/>
        <charset val="1"/>
      </rPr>
      <t xml:space="preserve">8.52 </t>
    </r>
    <r>
      <rPr>
        <sz val="10"/>
        <color rgb="FF1F2933"/>
        <rFont val="Noto Sans CJK SC"/>
        <charset val="134"/>
      </rPr>
      <t>行</t>
    </r>
  </si>
  <si>
    <t>达标</t>
  </si>
  <si>
    <t>max_average_cyclomatic</t>
  </si>
  <si>
    <t>平均圈复杂度上限</t>
  </si>
  <si>
    <t>≤ 5</t>
  </si>
  <si>
    <t>2.10</t>
  </si>
  <si>
    <t>max_code_duplication_ratio</t>
  </si>
  <si>
    <t>代码重复率上限</t>
  </si>
  <si>
    <t>≤ 10%</t>
  </si>
  <si>
    <t>5.53%</t>
  </si>
  <si>
    <t>max_file_duplication_ratio</t>
  </si>
  <si>
    <t>整文件重复率上限</t>
  </si>
  <si>
    <t>≤ 4%</t>
  </si>
  <si>
    <t>0%</t>
  </si>
  <si>
    <t>max_unsafe_density</t>
  </si>
  <si>
    <r>
      <rPr>
        <sz val="10"/>
        <color rgb="FF1F2933"/>
        <rFont val="微软雅黑"/>
        <charset val="1"/>
      </rPr>
      <t xml:space="preserve">unsafe </t>
    </r>
    <r>
      <rPr>
        <sz val="10"/>
        <color rgb="FF1F2933"/>
        <rFont val="Noto Sans CJK SC"/>
        <charset val="134"/>
      </rPr>
      <t>密度上限</t>
    </r>
  </si>
  <si>
    <t>0.022%</t>
  </si>
  <si>
    <t>max_code_size_growth_ratio</t>
  </si>
  <si>
    <t>代码规模增长率上限</t>
  </si>
  <si>
    <r>
      <rPr>
        <sz val="10"/>
        <color rgb="FF1F2933"/>
        <rFont val="Noto Sans CJK SC"/>
        <charset val="134"/>
      </rPr>
      <t xml:space="preserve">增长 ≤ </t>
    </r>
    <r>
      <rPr>
        <sz val="10"/>
        <color rgb="FF1F2933"/>
        <rFont val="微软雅黑"/>
        <charset val="1"/>
      </rPr>
      <t>0%</t>
    </r>
  </si>
  <si>
    <t>需传入基线才能计算；缺基线时门禁记为不完整。</t>
  </si>
  <si>
    <r>
      <rPr>
        <b/>
        <sz val="10"/>
        <color rgb="FFFFFFFF"/>
        <rFont val="Noto Sans CJK SC"/>
        <charset val="134"/>
      </rPr>
      <t>工作区（</t>
    </r>
    <r>
      <rPr>
        <b/>
        <sz val="10"/>
        <color rgb="FFFFFFFF"/>
        <rFont val="微软雅黑"/>
        <charset val="1"/>
      </rPr>
      <t xml:space="preserve">ripgrep </t>
    </r>
    <r>
      <rPr>
        <b/>
        <sz val="10"/>
        <color rgb="FFFFFFFF"/>
        <rFont val="Noto Sans CJK SC"/>
        <charset val="134"/>
      </rPr>
      <t>全量）</t>
    </r>
  </si>
  <si>
    <r>
      <rPr>
        <b/>
        <sz val="10"/>
        <color rgb="FFFFFFFF"/>
        <rFont val="Noto Sans CJK SC"/>
        <charset val="134"/>
      </rPr>
      <t>本文件（</t>
    </r>
    <r>
      <rPr>
        <b/>
        <sz val="10"/>
        <color rgb="FFFFFFFF"/>
        <rFont val="微软雅黑"/>
        <charset val="1"/>
      </rPr>
      <t>hiargs.rs</t>
    </r>
    <r>
      <rPr>
        <b/>
        <sz val="10"/>
        <color rgb="FFFFFFFF"/>
        <rFont val="Noto Sans CJK SC"/>
        <charset val="134"/>
      </rPr>
      <t>）</t>
    </r>
  </si>
  <si>
    <r>
      <rPr>
        <b/>
        <sz val="10"/>
        <color rgb="FFFFFFFF"/>
        <rFont val="Noto Sans CJK SC"/>
        <charset val="134"/>
      </rPr>
      <t>光标处（</t>
    </r>
    <r>
      <rPr>
        <b/>
        <sz val="10"/>
        <color rgb="FFFFFFFF"/>
        <rFont val="微软雅黑"/>
        <charset val="1"/>
      </rPr>
      <t>from_low_args</t>
    </r>
    <r>
      <rPr>
        <b/>
        <sz val="10"/>
        <color rgb="FFFFFFFF"/>
        <rFont val="Noto Sans CJK SC"/>
        <charset val="134"/>
      </rPr>
      <t>）</t>
    </r>
  </si>
  <si>
    <r>
      <rPr>
        <sz val="9"/>
        <color rgb="FF595959"/>
        <rFont val="Noto Sans CJK SC"/>
        <charset val="134"/>
      </rPr>
      <t xml:space="preserve">读法：比例类指标显示为百分比，括号内是「分子 </t>
    </r>
    <r>
      <rPr>
        <sz val="9"/>
        <color rgb="FF595959"/>
        <rFont val="微软雅黑"/>
        <charset val="1"/>
      </rPr>
      <t xml:space="preserve">/ </t>
    </r>
    <r>
      <rPr>
        <sz val="9"/>
        <color rgb="FF595959"/>
        <rFont val="Noto Sans CJK SC"/>
        <charset val="134"/>
      </rPr>
      <t xml:space="preserve">分母」；平均值类括号内是「总和 </t>
    </r>
    <r>
      <rPr>
        <sz val="9"/>
        <color rgb="FF595959"/>
        <rFont val="微软雅黑"/>
        <charset val="1"/>
      </rPr>
      <t xml:space="preserve">/ </t>
    </r>
    <r>
      <rPr>
        <sz val="9"/>
        <color rgb="FF595959"/>
        <rFont val="Noto Sans CJK SC"/>
        <charset val="134"/>
      </rPr>
      <t>个数」。「—」表示该范围不产生这项指标；「不适用」表示工具明确判定不适用。</t>
    </r>
  </si>
  <si>
    <r>
      <rPr>
        <sz val="9"/>
        <color rgb="FF595959"/>
        <rFont val="Noto Sans CJK SC"/>
        <charset val="134"/>
      </rPr>
      <t xml:space="preserve">三个范围：工作区 </t>
    </r>
    <r>
      <rPr>
        <sz val="9"/>
        <color rgb="FF595959"/>
        <rFont val="微软雅黑"/>
        <charset val="1"/>
      </rPr>
      <t xml:space="preserve">= ripgrep </t>
    </r>
    <r>
      <rPr>
        <sz val="9"/>
        <color rgb="FF595959"/>
        <rFont val="Noto Sans CJK SC"/>
        <charset val="134"/>
      </rPr>
      <t>全量（</t>
    </r>
    <r>
      <rPr>
        <sz val="9"/>
        <color rgb="FF595959"/>
        <rFont val="微软雅黑"/>
        <charset val="1"/>
      </rPr>
      <t xml:space="preserve">110 </t>
    </r>
    <r>
      <rPr>
        <sz val="9"/>
        <color rgb="FF595959"/>
        <rFont val="Noto Sans CJK SC"/>
        <charset val="134"/>
      </rPr>
      <t>个文件、</t>
    </r>
    <r>
      <rPr>
        <sz val="9"/>
        <color rgb="FF595959"/>
        <rFont val="微软雅黑"/>
        <charset val="1"/>
      </rPr>
      <t xml:space="preserve">40,756 </t>
    </r>
    <r>
      <rPr>
        <sz val="9"/>
        <color rgb="FF595959"/>
        <rFont val="Noto Sans CJK SC"/>
        <charset val="134"/>
      </rPr>
      <t>行有效代码、</t>
    </r>
    <r>
      <rPr>
        <sz val="9"/>
        <color rgb="FF595959"/>
        <rFont val="微软雅黑"/>
        <charset val="1"/>
      </rPr>
      <t xml:space="preserve">2,414 </t>
    </r>
    <r>
      <rPr>
        <sz val="9"/>
        <color rgb="FF595959"/>
        <rFont val="Noto Sans CJK SC"/>
        <charset val="134"/>
      </rPr>
      <t xml:space="preserve">个函数）；本文件 </t>
    </r>
    <r>
      <rPr>
        <sz val="9"/>
        <color rgb="FF595959"/>
        <rFont val="微软雅黑"/>
        <charset val="1"/>
      </rPr>
      <t>= hiargs.rs</t>
    </r>
    <r>
      <rPr>
        <sz val="9"/>
        <color rgb="FF595959"/>
        <rFont val="Noto Sans CJK SC"/>
        <charset val="134"/>
      </rPr>
      <t>（</t>
    </r>
    <r>
      <rPr>
        <sz val="9"/>
        <color rgb="FF595959"/>
        <rFont val="微软雅黑"/>
        <charset val="1"/>
      </rPr>
      <t xml:space="preserve">1,107 </t>
    </r>
    <r>
      <rPr>
        <sz val="9"/>
        <color rgb="FF595959"/>
        <rFont val="Noto Sans CJK SC"/>
        <charset val="134"/>
      </rPr>
      <t>行、</t>
    </r>
    <r>
      <rPr>
        <sz val="9"/>
        <color rgb="FF595959"/>
        <rFont val="微软雅黑"/>
        <charset val="1"/>
      </rPr>
      <t xml:space="preserve">48 </t>
    </r>
    <r>
      <rPr>
        <sz val="9"/>
        <color rgb="FF595959"/>
        <rFont val="Noto Sans CJK SC"/>
        <charset val="134"/>
      </rPr>
      <t xml:space="preserve">个函数）；光标处 </t>
    </r>
    <r>
      <rPr>
        <sz val="9"/>
        <color rgb="FF595959"/>
        <rFont val="微软雅黑"/>
        <charset val="1"/>
      </rPr>
      <t xml:space="preserve">= </t>
    </r>
    <r>
      <rPr>
        <sz val="9"/>
        <color rgb="FF595959"/>
        <rFont val="Noto Sans CJK SC"/>
        <charset val="134"/>
      </rPr>
      <t xml:space="preserve">只分析 </t>
    </r>
    <r>
      <rPr>
        <sz val="9"/>
        <color rgb="FF595959"/>
        <rFont val="微软雅黑"/>
        <charset val="1"/>
      </rPr>
      <t xml:space="preserve">from_low_args </t>
    </r>
    <r>
      <rPr>
        <sz val="9"/>
        <color rgb="FF595959"/>
        <rFont val="Noto Sans CJK SC"/>
        <charset val="134"/>
      </rPr>
      <t>所在区域。</t>
    </r>
  </si>
  <si>
    <t>术语说明</t>
  </si>
  <si>
    <t>术语</t>
  </si>
  <si>
    <t>通俗解释</t>
  </si>
  <si>
    <t>备注</t>
  </si>
  <si>
    <r>
      <rPr>
        <b/>
        <sz val="10"/>
        <color rgb="FF1F2933"/>
        <rFont val="Noto Sans CJK SC"/>
        <charset val="134"/>
      </rPr>
      <t>有效代码行（</t>
    </r>
    <r>
      <rPr>
        <b/>
        <sz val="10"/>
        <color rgb="FF1F2933"/>
        <rFont val="微软雅黑"/>
        <charset val="1"/>
      </rPr>
      <t xml:space="preserve">NBNC </t>
    </r>
    <r>
      <rPr>
        <b/>
        <sz val="10"/>
        <color rgb="FF1F2933"/>
        <rFont val="Noto Sans CJK SC"/>
        <charset val="134"/>
      </rPr>
      <t>行）</t>
    </r>
  </si>
  <si>
    <r>
      <rPr>
        <sz val="10"/>
        <color rgb="FF1F2933"/>
        <rFont val="Noto Sans CJK SC"/>
        <charset val="134"/>
      </rPr>
      <t xml:space="preserve">去掉空行和纯注释行之后的行数；代码后面带尾注释的行算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>行。本表所有「行数」都按这个口径。</t>
    </r>
  </si>
  <si>
    <t>NBNC = Non-Blank Non-Comment</t>
  </si>
  <si>
    <r>
      <rPr>
        <b/>
        <sz val="10"/>
        <color rgb="FF1F2933"/>
        <rFont val="Noto Sans CJK SC"/>
        <charset val="134"/>
      </rPr>
      <t>函数（</t>
    </r>
    <r>
      <rPr>
        <b/>
        <sz val="10"/>
        <color rgb="FF1F2933"/>
        <rFont val="微软雅黑"/>
        <charset val="1"/>
      </rPr>
      <t>callable</t>
    </r>
    <r>
      <rPr>
        <b/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</si>
  <si>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自由函数、嵌套 </t>
    </r>
    <r>
      <rPr>
        <sz val="10"/>
        <color rgb="FF1F2933"/>
        <rFont val="微软雅黑"/>
        <charset val="1"/>
      </rPr>
      <t>fn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impl </t>
    </r>
    <r>
      <rPr>
        <sz val="10"/>
        <color rgb="FF1F2933"/>
        <rFont val="Noto Sans CJK SC"/>
        <charset val="134"/>
      </rPr>
      <t xml:space="preserve">方法与关联函数、带默认体的 </t>
    </r>
    <r>
      <rPr>
        <sz val="10"/>
        <color rgb="FF1F2933"/>
        <rFont val="微软雅黑"/>
        <charset val="1"/>
      </rPr>
      <t xml:space="preserve">trait </t>
    </r>
    <r>
      <rPr>
        <sz val="10"/>
        <color rgb="FF1F2933"/>
        <rFont val="Noto Sans CJK SC"/>
        <charset val="134"/>
      </rPr>
      <t>方法。不含闭包。</t>
    </r>
  </si>
  <si>
    <t>表中的「函数级」指标都以它为单位</t>
  </si>
  <si>
    <t>圈复杂度</t>
  </si>
  <si>
    <r>
      <rPr>
        <sz val="10"/>
        <color rgb="FF1F2933"/>
        <rFont val="Noto Sans CJK SC"/>
        <charset val="134"/>
      </rPr>
      <t xml:space="preserve">衡量函数里有多少条独立执行路径。从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开始，遇到 </t>
    </r>
    <r>
      <rPr>
        <sz val="10"/>
        <color rgb="FF1F2933"/>
        <rFont val="微软雅黑"/>
        <charset val="1"/>
      </rPr>
      <t>if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for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loop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while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>分支（首分支不计）、</t>
    </r>
    <r>
      <rPr>
        <sz val="10"/>
        <color rgb="FF1F2933"/>
        <rFont val="微软雅黑"/>
        <charset val="1"/>
      </rPr>
      <t>?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let-else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&amp;&amp;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 xml:space="preserve">|| </t>
    </r>
    <r>
      <rPr>
        <sz val="10"/>
        <color rgb="FF1F2933"/>
        <rFont val="Noto Sans CJK SC"/>
        <charset val="134"/>
      </rPr>
      <t xml:space="preserve">各加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。</t>
    </r>
  </si>
  <si>
    <r>
      <rPr>
        <b/>
        <sz val="10"/>
        <color rgb="FF1F2933"/>
        <rFont val="微软雅黑"/>
        <charset val="1"/>
      </rPr>
      <t xml:space="preserve">CCA </t>
    </r>
    <r>
      <rPr>
        <b/>
        <sz val="10"/>
        <color rgb="FF1F2933"/>
        <rFont val="Noto Sans CJK SC"/>
        <charset val="134"/>
      </rPr>
      <t>复杂度</t>
    </r>
  </si>
  <si>
    <r>
      <rPr>
        <sz val="10"/>
        <color rgb="FF1F2933"/>
        <rFont val="Noto Sans CJK SC"/>
        <charset val="134"/>
      </rPr>
      <t>圈复杂度的变体：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的各分支体本身都不含决策点时，整条 </t>
    </r>
    <r>
      <rPr>
        <sz val="10"/>
        <color rgb="FF1F2933"/>
        <rFont val="微软雅黑"/>
        <charset val="1"/>
      </rPr>
      <t xml:space="preserve">match </t>
    </r>
    <r>
      <rPr>
        <sz val="10"/>
        <color rgb="FF1F2933"/>
        <rFont val="Noto Sans CJK SC"/>
        <charset val="134"/>
      </rPr>
      <t xml:space="preserve">只算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；否则与圈复杂度相同。</t>
    </r>
  </si>
  <si>
    <r>
      <rPr>
        <sz val="10"/>
        <color rgb="FF1F2933"/>
        <rFont val="Noto Sans CJK SC"/>
        <charset val="134"/>
      </rPr>
      <t xml:space="preserve">阈值 </t>
    </r>
    <r>
      <rPr>
        <sz val="10"/>
        <color rgb="FF1F2933"/>
        <rFont val="微软雅黑"/>
        <charset val="1"/>
      </rPr>
      <t xml:space="preserve">20 </t>
    </r>
    <r>
      <rPr>
        <sz val="10"/>
        <color rgb="FF1F2933"/>
        <rFont val="Noto Sans CJK SC"/>
        <charset val="134"/>
      </rPr>
      <t xml:space="preserve">参考 </t>
    </r>
    <r>
      <rPr>
        <sz val="10"/>
        <color rgb="FF1F2933"/>
        <rFont val="微软雅黑"/>
        <charset val="1"/>
      </rPr>
      <t xml:space="preserve">JSF C++ </t>
    </r>
    <r>
      <rPr>
        <sz val="10"/>
        <color rgb="FF1F2933"/>
        <rFont val="Noto Sans CJK SC"/>
        <charset val="134"/>
      </rPr>
      <t>编码标准，可配置</t>
    </r>
  </si>
  <si>
    <r>
      <rPr>
        <b/>
        <sz val="10"/>
        <color rgb="FF1F2933"/>
        <rFont val="Noto Sans CJK SC"/>
        <charset val="134"/>
      </rPr>
      <t xml:space="preserve">超大 </t>
    </r>
    <r>
      <rPr>
        <b/>
        <sz val="10"/>
        <color rgb="FF1F2933"/>
        <rFont val="微软雅黑"/>
        <charset val="1"/>
      </rPr>
      <t xml:space="preserve">/ </t>
    </r>
    <r>
      <rPr>
        <b/>
        <sz val="10"/>
        <color rgb="FF1F2933"/>
        <rFont val="Noto Sans CJK SC"/>
        <charset val="134"/>
      </rPr>
      <t>超限比例（</t>
    </r>
    <r>
      <rPr>
        <b/>
        <sz val="10"/>
        <color rgb="FF1F2933"/>
        <rFont val="微软雅黑"/>
        <charset val="1"/>
      </rPr>
      <t>huge_ratio</t>
    </r>
    <r>
      <rPr>
        <b/>
        <sz val="10"/>
        <color rgb="FF1F2933"/>
        <rFont val="Noto Sans CJK SC"/>
        <charset val="134"/>
      </rPr>
      <t>）</t>
    </r>
  </si>
  <si>
    <t>超过阈值的对象占全部对象的比例。「超过」是严格大于阈值才算。</t>
  </si>
  <si>
    <r>
      <rPr>
        <sz val="10"/>
        <color rgb="FF1F2933"/>
        <rFont val="微软雅黑"/>
        <charset val="1"/>
      </rPr>
      <t xml:space="preserve">CCA </t>
    </r>
    <r>
      <rPr>
        <sz val="10"/>
        <color rgb="FF1F2933"/>
        <rFont val="Noto Sans CJK SC"/>
        <charset val="134"/>
      </rPr>
      <t>满足度相反，用「小于等于」判满足</t>
    </r>
  </si>
  <si>
    <t>遵从度</t>
  </si>
  <si>
    <t>没有触发相关规则的对象占比，越高越好。</t>
  </si>
  <si>
    <t>覆盖率</t>
  </si>
  <si>
    <r>
      <rPr>
        <sz val="10"/>
        <color rgb="FF1F2933"/>
        <rFont val="Noto Sans CJK SC"/>
        <charset val="134"/>
      </rPr>
      <t xml:space="preserve">成功解析的对象占比。只有文件解析失败时才会低于 </t>
    </r>
    <r>
      <rPr>
        <sz val="10"/>
        <color rgb="FF1F2933"/>
        <rFont val="微软雅黑"/>
        <charset val="1"/>
      </rPr>
      <t>100%</t>
    </r>
    <r>
      <rPr>
        <sz val="10"/>
        <color rgb="FF1F2933"/>
        <rFont val="Noto Sans CJK SC"/>
        <charset val="134"/>
      </rPr>
      <t>。</t>
    </r>
  </si>
  <si>
    <t>规则的分类：可维护、可读、可靠、安全、可测试；另有高效、可移植两个维度，工具没有给出计算方式。</t>
  </si>
  <si>
    <r>
      <rPr>
        <b/>
        <sz val="10"/>
        <color rgb="FF1F2933"/>
        <rFont val="微软雅黑"/>
        <charset val="1"/>
      </rPr>
      <t xml:space="preserve">physical </t>
    </r>
    <r>
      <rPr>
        <b/>
        <sz val="10"/>
        <color rgb="FF1F2933"/>
        <rFont val="Noto Sans CJK SC"/>
        <charset val="134"/>
      </rPr>
      <t>聚合</t>
    </r>
  </si>
  <si>
    <r>
      <rPr>
        <sz val="10"/>
        <color rgb="FF1F2933"/>
        <rFont val="Noto Sans CJK SC"/>
        <charset val="134"/>
      </rPr>
      <t xml:space="preserve">默认的聚合方式。项目级把整个分析范围算作 </t>
    </r>
    <r>
      <rPr>
        <sz val="10"/>
        <color rgb="FF1F2933"/>
        <rFont val="微软雅黑"/>
        <charset val="1"/>
      </rPr>
      <t xml:space="preserve">1 </t>
    </r>
    <r>
      <rPr>
        <sz val="10"/>
        <color rgb="FF1F2933"/>
        <rFont val="Noto Sans CJK SC"/>
        <charset val="134"/>
      </rPr>
      <t xml:space="preserve">个单位，所以项目级遵从度只有 </t>
    </r>
    <r>
      <rPr>
        <sz val="10"/>
        <color rgb="FF1F2933"/>
        <rFont val="微软雅黑"/>
        <charset val="1"/>
      </rPr>
      <t xml:space="preserve">0 </t>
    </r>
    <r>
      <rPr>
        <sz val="10"/>
        <color rgb="FF1F2933"/>
        <rFont val="Noto Sans CJK SC"/>
        <charset val="134"/>
      </rPr>
      <t xml:space="preserve">和 </t>
    </r>
    <r>
      <rPr>
        <sz val="10"/>
        <color rgb="FF1F2933"/>
        <rFont val="微软雅黑"/>
        <charset val="1"/>
      </rPr>
      <t>1</t>
    </r>
    <r>
      <rPr>
        <sz val="10"/>
        <color rgb="FF1F2933"/>
        <rFont val="Noto Sans CJK SC"/>
        <charset val="134"/>
      </rPr>
      <t>。</t>
    </r>
  </si>
  <si>
    <t>unknown_policy</t>
  </si>
  <si>
    <r>
      <rPr>
        <sz val="10"/>
        <color rgb="FF1F2933"/>
        <rFont val="Noto Sans CJK SC"/>
        <charset val="134"/>
      </rPr>
      <t>解析失败的文件怎么处理。</t>
    </r>
    <r>
      <rPr>
        <sz val="10"/>
        <color rgb="FF1F2933"/>
        <rFont val="微软雅黑"/>
        <charset val="1"/>
      </rPr>
      <t>fail</t>
    </r>
    <r>
      <rPr>
        <sz val="10"/>
        <color rgb="FF1F2933"/>
        <rFont val="Noto Sans CJK SC"/>
        <charset val="134"/>
      </rPr>
      <t>（默认）：算进分母、按不达标计；</t>
    </r>
    <r>
      <rPr>
        <sz val="10"/>
        <color rgb="FF1F2933"/>
        <rFont val="微软雅黑"/>
        <charset val="1"/>
      </rPr>
      <t>exclude</t>
    </r>
    <r>
      <rPr>
        <sz val="10"/>
        <color rgb="FF1F2933"/>
        <rFont val="Noto Sans CJK SC"/>
        <charset val="134"/>
      </rPr>
      <t>：不计入。</t>
    </r>
  </si>
  <si>
    <r>
      <rPr>
        <sz val="10"/>
        <color rgb="FF1F2933"/>
        <rFont val="Noto Sans CJK SC"/>
        <charset val="134"/>
      </rPr>
      <t xml:space="preserve">见设计文档 </t>
    </r>
    <r>
      <rPr>
        <sz val="10"/>
        <color rgb="FF1F2933"/>
        <rFont val="微软雅黑"/>
        <charset val="1"/>
      </rPr>
      <t>DD-5</t>
    </r>
  </si>
  <si>
    <r>
      <rPr>
        <b/>
        <sz val="10"/>
        <color rgb="FF1F2933"/>
        <rFont val="Noto Sans CJK SC"/>
        <charset val="134"/>
      </rPr>
      <t>质量目标（</t>
    </r>
    <r>
      <rPr>
        <b/>
        <sz val="10"/>
        <color rgb="FF1F2933"/>
        <rFont val="微软雅黑"/>
        <charset val="1"/>
      </rPr>
      <t>quality_targets</t>
    </r>
    <r>
      <rPr>
        <b/>
        <sz val="10"/>
        <color rgb="FF1F2933"/>
        <rFont val="Noto Sans CJK SC"/>
        <charset val="134"/>
      </rPr>
      <t>）</t>
    </r>
  </si>
  <si>
    <r>
      <rPr>
        <sz val="10"/>
        <color rgb="FF1F2933"/>
        <rFont val="Noto Sans CJK SC"/>
        <charset val="134"/>
      </rPr>
      <t xml:space="preserve">配置文件里的 </t>
    </r>
    <r>
      <rPr>
        <sz val="10"/>
        <color rgb="FF1F2933"/>
        <rFont val="微软雅黑"/>
        <charset val="1"/>
      </rPr>
      <t xml:space="preserve">7 </t>
    </r>
    <r>
      <rPr>
        <sz val="10"/>
        <color rgb="FF1F2933"/>
        <rFont val="Noto Sans CJK SC"/>
        <charset val="134"/>
      </rPr>
      <t xml:space="preserve">个项目级上限，门禁据此给出「达标 </t>
    </r>
    <r>
      <rPr>
        <sz val="10"/>
        <color rgb="FF1F2933"/>
        <rFont val="微软雅黑"/>
        <charset val="1"/>
      </rPr>
      <t xml:space="preserve">/ </t>
    </r>
    <r>
      <rPr>
        <sz val="10"/>
        <color rgb="FF1F2933"/>
        <rFont val="Noto Sans CJK SC"/>
        <charset val="134"/>
      </rPr>
      <t>未达标」。</t>
    </r>
  </si>
  <si>
    <t>见「规则与门禁」页</t>
  </si>
  <si>
    <t>门禁</t>
  </si>
  <si>
    <r>
      <rPr>
        <sz val="10"/>
        <color rgb="FF1F2933"/>
        <rFont val="微软雅黑"/>
        <charset val="1"/>
      </rPr>
      <t xml:space="preserve">bot-metric </t>
    </r>
    <r>
      <rPr>
        <sz val="10"/>
        <color rgb="FF1F2933"/>
        <rFont val="Noto Sans CJK SC"/>
        <charset val="134"/>
      </rPr>
      <t xml:space="preserve">的 </t>
    </r>
    <r>
      <rPr>
        <sz val="10"/>
        <color rgb="FF1F2933"/>
        <rFont val="微软雅黑"/>
        <charset val="1"/>
      </rPr>
      <t xml:space="preserve">check </t>
    </r>
    <r>
      <rPr>
        <sz val="10"/>
        <color rgb="FF1F2933"/>
        <rFont val="Noto Sans CJK SC"/>
        <charset val="134"/>
      </rPr>
      <t>命令：根据规则命中和质量目标给出通过或阻塞。</t>
    </r>
  </si>
  <si>
    <r>
      <rPr>
        <b/>
        <sz val="10"/>
        <color rgb="FF1F2933"/>
        <rFont val="Noto Sans CJK SC"/>
        <charset val="134"/>
      </rPr>
      <t>光标处取值（</t>
    </r>
    <r>
      <rPr>
        <b/>
        <sz val="10"/>
        <color rgb="FF1F2933"/>
        <rFont val="微软雅黑"/>
        <charset val="1"/>
      </rPr>
      <t xml:space="preserve">item </t>
    </r>
    <r>
      <rPr>
        <b/>
        <sz val="10"/>
        <color rgb="FF1F2933"/>
        <rFont val="Noto Sans CJK SC"/>
        <charset val="134"/>
      </rPr>
      <t>投影）</t>
    </r>
  </si>
  <si>
    <r>
      <rPr>
        <sz val="10"/>
        <color rgb="FF1F2933"/>
        <rFont val="Noto Sans CJK SC"/>
        <charset val="134"/>
      </rPr>
      <t xml:space="preserve">传入光标位置，只分析光标所在的语法项，得到函数级取值，每次约 </t>
    </r>
    <r>
      <rPr>
        <sz val="10"/>
        <color rgb="FF1F2933"/>
        <rFont val="微软雅黑"/>
        <charset val="1"/>
      </rPr>
      <t xml:space="preserve">18 </t>
    </r>
    <r>
      <rPr>
        <sz val="10"/>
        <color rgb="FF1F2933"/>
        <rFont val="Noto Sans CJK SC"/>
        <charset val="134"/>
      </rPr>
      <t>毫秒。对个别指标，这种范围下分母会失真。函数悬停里，命中规则的函数用规则条目里的数字，没有问题的函数才用这种取值；函数含闭包时得到的是区域平均，可能偏低。</t>
    </r>
  </si>
  <si>
    <r>
      <rPr>
        <sz val="10"/>
        <color rgb="FF1F2933"/>
        <rFont val="Noto Sans CJK SC"/>
        <charset val="134"/>
      </rPr>
      <t xml:space="preserve">设计文档 </t>
    </r>
    <r>
      <rPr>
        <sz val="10"/>
        <color rgb="FF1F2933"/>
        <rFont val="微软雅黑"/>
        <charset val="1"/>
      </rPr>
      <t>DD-4</t>
    </r>
    <r>
      <rPr>
        <sz val="10"/>
        <color rgb="FF1F2933"/>
        <rFont val="Noto Sans CJK SC"/>
        <charset val="134"/>
      </rPr>
      <t>、</t>
    </r>
    <r>
      <rPr>
        <sz val="10"/>
        <color rgb="FF1F2933"/>
        <rFont val="微软雅黑"/>
        <charset val="1"/>
      </rPr>
      <t>R-2</t>
    </r>
  </si>
  <si>
    <t>rust-analyzer</t>
  </si>
  <si>
    <r>
      <rPr>
        <sz val="10"/>
        <color rgb="FF1F2933"/>
        <rFont val="Noto Sans CJK SC"/>
        <charset val="134"/>
      </rPr>
      <t xml:space="preserve">编辑器里已有的 </t>
    </r>
    <r>
      <rPr>
        <sz val="10"/>
        <color rgb="FF1F2933"/>
        <rFont val="微软雅黑"/>
        <charset val="1"/>
      </rPr>
      <t xml:space="preserve">Rust </t>
    </r>
    <r>
      <rPr>
        <sz val="10"/>
        <color rgb="FF1F2933"/>
        <rFont val="Noto Sans CJK SC"/>
        <charset val="134"/>
      </rPr>
      <t>语言服务，已经提供语法和编译诊断。</t>
    </r>
  </si>
  <si>
    <t>与它重复的指标不选入</t>
  </si>
  <si>
    <t>BM001~BM007</t>
  </si>
  <si>
    <r>
      <rPr>
        <sz val="10"/>
        <color rgb="FF1F2933"/>
        <rFont val="微软雅黑"/>
        <charset val="1"/>
      </rPr>
      <t xml:space="preserve">bot-metric </t>
    </r>
    <r>
      <rPr>
        <sz val="10"/>
        <color rgb="FF1F2933"/>
        <rFont val="Noto Sans CJK SC"/>
        <charset val="134"/>
      </rPr>
      <t>的七条内置规则：</t>
    </r>
    <r>
      <rPr>
        <sz val="10"/>
        <color rgb="FF1F2933"/>
        <rFont val="微软雅黑"/>
        <charset val="1"/>
      </rPr>
      <t xml:space="preserve">BM001 </t>
    </r>
    <r>
      <rPr>
        <sz val="10"/>
        <color rgb="FF1F2933"/>
        <rFont val="Noto Sans CJK SC"/>
        <charset val="134"/>
      </rPr>
      <t>函数过长、</t>
    </r>
    <r>
      <rPr>
        <sz val="10"/>
        <color rgb="FF1F2933"/>
        <rFont val="微软雅黑"/>
        <charset val="1"/>
      </rPr>
      <t xml:space="preserve">BM002 unsafe </t>
    </r>
    <r>
      <rPr>
        <sz val="10"/>
        <color rgb="FF1F2933"/>
        <rFont val="Noto Sans CJK SC"/>
        <charset val="134"/>
      </rPr>
      <t>使用、</t>
    </r>
    <r>
      <rPr>
        <sz val="10"/>
        <color rgb="FF1F2933"/>
        <rFont val="微软雅黑"/>
        <charset val="1"/>
      </rPr>
      <t xml:space="preserve">BM003 </t>
    </r>
    <r>
      <rPr>
        <sz val="10"/>
        <color rgb="FF1F2933"/>
        <rFont val="Noto Sans CJK SC"/>
        <charset val="134"/>
      </rPr>
      <t>文件过大、</t>
    </r>
    <r>
      <rPr>
        <sz val="10"/>
        <color rgb="FF1F2933"/>
        <rFont val="微软雅黑"/>
        <charset val="1"/>
      </rPr>
      <t xml:space="preserve">BM004 </t>
    </r>
    <r>
      <rPr>
        <sz val="10"/>
        <color rgb="FF1F2933"/>
        <rFont val="Noto Sans CJK SC"/>
        <charset val="134"/>
      </rPr>
      <t>函数复杂度过高、</t>
    </r>
    <r>
      <rPr>
        <sz val="10"/>
        <color rgb="FF1F2933"/>
        <rFont val="微软雅黑"/>
        <charset val="1"/>
      </rPr>
      <t xml:space="preserve">BM005 </t>
    </r>
    <r>
      <rPr>
        <sz val="10"/>
        <color rgb="FF1F2933"/>
        <rFont val="Noto Sans CJK SC"/>
        <charset val="134"/>
      </rPr>
      <t>质量目标未达成、</t>
    </r>
    <r>
      <rPr>
        <sz val="10"/>
        <color rgb="FF1F2933"/>
        <rFont val="微软雅黑"/>
        <charset val="1"/>
      </rPr>
      <t xml:space="preserve">BM006 </t>
    </r>
    <r>
      <rPr>
        <sz val="10"/>
        <color rgb="FF1F2933"/>
        <rFont val="Noto Sans CJK SC"/>
        <charset val="134"/>
      </rPr>
      <t>重复代码块、</t>
    </r>
    <r>
      <rPr>
        <sz val="10"/>
        <color rgb="FF1F2933"/>
        <rFont val="微软雅黑"/>
        <charset val="1"/>
      </rPr>
      <t xml:space="preserve">BM007 </t>
    </r>
    <r>
      <rPr>
        <sz val="10"/>
        <color rgb="FF1F2933"/>
        <rFont val="Noto Sans CJK SC"/>
        <charset val="134"/>
      </rPr>
      <t>文件完全重复。</t>
    </r>
  </si>
  <si>
    <r>
      <rPr>
        <sz val="10"/>
        <color rgb="FF1F2933"/>
        <rFont val="微软雅黑"/>
        <charset val="1"/>
      </rPr>
      <t xml:space="preserve">BM1xx / BM2xx </t>
    </r>
    <r>
      <rPr>
        <sz val="10"/>
        <color rgb="FF1F2933"/>
        <rFont val="Noto Sans CJK SC"/>
        <charset val="134"/>
      </rPr>
      <t xml:space="preserve">是分析完整性诊断，如 </t>
    </r>
    <r>
      <rPr>
        <sz val="10"/>
        <color rgb="FF1F2933"/>
        <rFont val="微软雅黑"/>
        <charset val="1"/>
      </rPr>
      <t xml:space="preserve">BM201 </t>
    </r>
    <r>
      <rPr>
        <sz val="10"/>
        <color rgb="FF1F2933"/>
        <rFont val="Noto Sans CJK SC"/>
        <charset val="134"/>
      </rPr>
      <t>语法错误</t>
    </r>
  </si>
  <si>
    <t>五个展示位置</t>
  </si>
  <si>
    <r>
      <rPr>
        <sz val="10"/>
        <color rgb="FF1F2933"/>
        <rFont val="Noto Sans CJK SC"/>
        <charset val="134"/>
      </rPr>
      <t>① 诊断  ② 函数提示（</t>
    </r>
    <r>
      <rPr>
        <sz val="10"/>
        <color rgb="FF1F2933"/>
        <rFont val="微软雅黑"/>
        <charset val="1"/>
      </rPr>
      <t>CodeLens</t>
    </r>
    <r>
      <rPr>
        <sz val="10"/>
        <color rgb="FF1F2933"/>
        <rFont val="Noto Sans CJK SC"/>
        <charset val="134"/>
      </rPr>
      <t>、悬停）  ③ 文件状态栏  ④ 侧栏（工作区概览、问题视图）  ⑤ 门禁栏。</t>
    </r>
  </si>
  <si>
    <t>见「展示设计」页与界面稿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</si>
</sst>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Calibri"/>
      <charset val="1"/>
    </font>
    <font>
      <b/>
      <sz val="14"/>
      <color rgb="FF1F2933"/>
      <name val="Noto Sans CJK SC"/>
      <charset val="134"/>
    </font>
    <font>
      <b/>
      <sz val="10"/>
      <color rgb="FFFFFFFF"/>
      <name val="Noto Sans CJK SC"/>
      <charset val="134"/>
    </font>
    <font>
      <b/>
      <sz val="10"/>
      <color rgb="FF1F2933"/>
      <name val="Noto Sans CJK SC"/>
      <charset val="134"/>
    </font>
    <font>
      <sz val="10"/>
      <color rgb="FF1F2933"/>
      <name val="Noto Sans CJK SC"/>
      <charset val="134"/>
    </font>
    <font>
      <sz val="10"/>
      <color rgb="FF1F2933"/>
      <name val="微软雅黑"/>
      <charset val="1"/>
    </font>
    <font>
      <b/>
      <sz val="10"/>
      <color rgb="FF1F2933"/>
      <name val="微软雅黑"/>
      <charset val="1"/>
    </font>
    <font>
      <sz val="9.5"/>
      <color rgb="FF1F2933"/>
      <name val="Consolas"/>
      <charset val="1"/>
    </font>
    <font>
      <b/>
      <sz val="10"/>
      <color rgb="FF2E6B34"/>
      <name val="Noto Sans CJK SC"/>
      <charset val="134"/>
    </font>
    <font>
      <sz val="10"/>
      <color rgb="FF6B6B6B"/>
      <name val="Noto Sans CJK SC"/>
      <charset val="134"/>
    </font>
    <font>
      <sz val="9"/>
      <color rgb="FF595959"/>
      <name val="Noto Sans CJK SC"/>
      <charset val="134"/>
    </font>
    <font>
      <b/>
      <sz val="11"/>
      <color rgb="FF1F4E79"/>
      <name val="Noto Sans CJK SC"/>
      <charset val="134"/>
    </font>
    <font>
      <b/>
      <sz val="10"/>
      <color rgb="FFFFFFFF"/>
      <name val="微软雅黑"/>
      <charset val="1"/>
    </font>
    <font>
      <sz val="9.5"/>
      <color rgb="FF1F2933"/>
      <name val="Noto Sans CJK SC"/>
      <charset val="134"/>
    </font>
    <font>
      <b/>
      <sz val="10"/>
      <color rgb="FFA12A1F"/>
      <name val="Noto Sans CJK SC"/>
      <charset val="134"/>
    </font>
    <font>
      <sz val="9"/>
      <color rgb="FF595959"/>
      <name val="微软雅黑"/>
      <charset val="1"/>
    </font>
    <font>
      <b/>
      <sz val="14"/>
      <color rgb="FF1F2933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F4E79"/>
      <name val="微软雅黑"/>
      <charset val="1"/>
    </font>
  </fonts>
  <fills count="39">
    <fill>
      <patternFill patternType="none"/>
    </fill>
    <fill>
      <patternFill patternType="gray125"/>
    </fill>
    <fill>
      <patternFill patternType="solid">
        <fgColor rgb="FF2F4858"/>
        <bgColor rgb="FF1F4E79"/>
      </patternFill>
    </fill>
    <fill>
      <patternFill patternType="solid">
        <fgColor rgb="FFE3F1E1"/>
        <bgColor rgb="FFEFEFEF"/>
      </patternFill>
    </fill>
    <fill>
      <patternFill patternType="solid">
        <fgColor rgb="FFEFEFEF"/>
        <bgColor rgb="FFE3F1E1"/>
      </patternFill>
    </fill>
    <fill>
      <patternFill patternType="solid">
        <fgColor rgb="FFFBE3E0"/>
        <bgColor rgb="FFEFEFEF"/>
      </patternFill>
    </fill>
    <fill>
      <patternFill patternType="solid">
        <fgColor rgb="FFF5F8FA"/>
        <bgColor rgb="FFFFFFFF"/>
      </patternFill>
    </fill>
    <fill>
      <patternFill patternType="solid">
        <fgColor rgb="FFFFF4D6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44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42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5" applyNumberFormat="0" applyAlignment="0" applyProtection="0">
      <alignment vertical="center"/>
    </xf>
    <xf numFmtId="0" fontId="28" fillId="10" borderId="6" applyNumberFormat="0" applyAlignment="0" applyProtection="0">
      <alignment vertical="center"/>
    </xf>
    <xf numFmtId="0" fontId="29" fillId="10" borderId="5" applyNumberFormat="0" applyAlignment="0" applyProtection="0">
      <alignment vertical="center"/>
    </xf>
    <xf numFmtId="0" fontId="30" fillId="11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9" fillId="4" borderId="1" xfId="0" applyFont="1" applyFill="1" applyBorder="1" applyAlignment="1">
      <alignment horizontal="center" vertical="top" wrapText="1"/>
    </xf>
    <xf numFmtId="0" fontId="10" fillId="0" borderId="0" xfId="0" applyFont="1"/>
    <xf numFmtId="0" fontId="10" fillId="0" borderId="0" xfId="0" applyFont="1" applyBorder="1" applyAlignment="1">
      <alignment vertical="top" wrapText="1"/>
    </xf>
    <xf numFmtId="0" fontId="11" fillId="0" borderId="0" xfId="0" applyFont="1"/>
    <xf numFmtId="0" fontId="4" fillId="0" borderId="1" xfId="0" applyFont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vertical="top" wrapText="1"/>
    </xf>
    <xf numFmtId="0" fontId="15" fillId="0" borderId="0" xfId="0" applyFont="1" applyBorder="1" applyAlignment="1">
      <alignment vertical="top" wrapText="1"/>
    </xf>
    <xf numFmtId="0" fontId="10" fillId="0" borderId="0" xfId="0" applyFont="1" applyBorder="1"/>
    <xf numFmtId="0" fontId="5" fillId="0" borderId="1" xfId="0" applyFont="1" applyBorder="1" applyAlignment="1">
      <alignment horizontal="center" vertical="top" wrapText="1"/>
    </xf>
    <xf numFmtId="0" fontId="16" fillId="0" borderId="0" xfId="0" applyFont="1"/>
    <xf numFmtId="0" fontId="3" fillId="7" borderId="0" xfId="0" applyFont="1" applyFill="1" applyBorder="1" applyAlignment="1">
      <alignment vertical="top" wrapText="1"/>
    </xf>
    <xf numFmtId="0" fontId="11" fillId="6" borderId="0" xfId="0" applyFont="1" applyFill="1" applyAlignment="1">
      <alignment vertical="center"/>
    </xf>
    <xf numFmtId="0" fontId="0" fillId="6" borderId="0" xfId="0" applyFill="1"/>
    <xf numFmtId="0" fontId="4" fillId="0" borderId="0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2E6B34"/>
      <rgbColor rgb="00000080"/>
      <rgbColor rgb="00808000"/>
      <rgbColor rgb="00800080"/>
      <rgbColor rgb="00008080"/>
      <rgbColor rgb="00C0C0C0"/>
      <rgbColor rgb="00595959"/>
      <rgbColor rgb="009999FF"/>
      <rgbColor rgb="00993366"/>
      <rgbColor rgb="00FFF4D6"/>
      <rgbColor rgb="00F5F8FA"/>
      <rgbColor rgb="00660066"/>
      <rgbColor rgb="00FF8080"/>
      <rgbColor rgb="000066CC"/>
      <rgbColor rgb="00D0D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FEFEF"/>
      <rgbColor rgb="00E3F1E1"/>
      <rgbColor rgb="00FFFF99"/>
      <rgbColor rgb="0099CCFF"/>
      <rgbColor rgb="00FF99CC"/>
      <rgbColor rgb="00CC99FF"/>
      <rgbColor rgb="00FBE3E0"/>
      <rgbColor rgb="003366FF"/>
      <rgbColor rgb="0033CCCC"/>
      <rgbColor rgb="0099CC00"/>
      <rgbColor rgb="00FFCC00"/>
      <rgbColor rgb="00FF9900"/>
      <rgbColor rgb="00FF6600"/>
      <rgbColor rgb="006B6B6B"/>
      <rgbColor rgb="009AA5AD"/>
      <rgbColor rgb="002F4858"/>
      <rgbColor rgb="00339966"/>
      <rgbColor rgb="00003300"/>
      <rgbColor rgb="00333300"/>
      <rgbColor rgb="00A12A1F"/>
      <rgbColor rgb="00993366"/>
      <rgbColor rgb="001F4E79"/>
      <rgbColor rgb="00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4858"/>
    <pageSetUpPr fitToPage="1"/>
  </sheetPr>
  <dimension ref="A1:F60"/>
  <sheetViews>
    <sheetView showGridLines="0" tabSelected="1" topLeftCell="A44" workbookViewId="0">
      <selection activeCell="A1" sqref="A1"/>
    </sheetView>
  </sheetViews>
  <sheetFormatPr defaultColWidth="8.67619047619048" defaultRowHeight="15" outlineLevelCol="5"/>
  <cols>
    <col min="1" max="1" width="16" customWidth="1"/>
    <col min="2" max="2" width="28" customWidth="1"/>
    <col min="3" max="3" width="46" customWidth="1"/>
    <col min="4" max="4" width="34" customWidth="1"/>
    <col min="5" max="5" width="16" customWidth="1"/>
    <col min="6" max="6" width="18" customWidth="1"/>
  </cols>
  <sheetData>
    <row r="1" ht="27.75" customHeight="1" spans="1:6">
      <c r="A1" s="26" t="s">
        <v>0</v>
      </c>
    </row>
    <row r="2" ht="34.5" customHeight="1" spans="1:6">
      <c r="A2" s="27" t="s">
        <v>1</v>
      </c>
      <c r="B2" s="27"/>
      <c r="C2" s="27"/>
      <c r="D2" s="27"/>
      <c r="E2" s="27"/>
      <c r="F2" s="27"/>
    </row>
    <row r="3" ht="20.25" customHeight="1" spans="1:6">
      <c r="A3" s="15" t="s">
        <v>2</v>
      </c>
      <c r="B3" s="15"/>
      <c r="C3" s="15"/>
      <c r="D3" s="15"/>
      <c r="E3" s="15"/>
      <c r="F3" s="15"/>
    </row>
    <row r="5" ht="24" customHeight="1" spans="1:6">
      <c r="A5" s="28" t="s">
        <v>3</v>
      </c>
      <c r="B5" s="29"/>
      <c r="C5" s="29"/>
      <c r="D5" s="29"/>
      <c r="E5" s="29"/>
      <c r="F5" s="29"/>
    </row>
    <row r="6" ht="31.5" customHeight="1" spans="1:6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ht="36.75" customHeight="1" spans="1:6">
      <c r="A7" s="4" t="s">
        <v>10</v>
      </c>
      <c r="B7" s="3" t="s">
        <v>11</v>
      </c>
      <c r="C7" s="4" t="s">
        <v>12</v>
      </c>
      <c r="D7" s="4" t="s">
        <v>13</v>
      </c>
      <c r="E7" s="4" t="s">
        <v>14</v>
      </c>
      <c r="F7" s="4" t="s">
        <v>15</v>
      </c>
    </row>
    <row r="8" ht="24" customHeight="1" spans="1:6">
      <c r="A8" s="4" t="s">
        <v>10</v>
      </c>
      <c r="B8" s="3" t="s">
        <v>16</v>
      </c>
      <c r="C8" s="4" t="s">
        <v>17</v>
      </c>
      <c r="D8" s="4" t="s">
        <v>13</v>
      </c>
      <c r="E8" s="4" t="s">
        <v>18</v>
      </c>
      <c r="F8" s="4" t="s">
        <v>15</v>
      </c>
    </row>
    <row r="9" ht="36.75" customHeight="1" spans="1:6">
      <c r="A9" s="4" t="s">
        <v>10</v>
      </c>
      <c r="B9" s="3" t="s">
        <v>19</v>
      </c>
      <c r="C9" s="4" t="s">
        <v>20</v>
      </c>
      <c r="D9" s="4" t="s">
        <v>13</v>
      </c>
      <c r="E9" s="4" t="s">
        <v>14</v>
      </c>
      <c r="F9" s="4" t="s">
        <v>21</v>
      </c>
    </row>
    <row r="10" ht="24" customHeight="1" spans="1:6">
      <c r="A10" s="4" t="s">
        <v>10</v>
      </c>
      <c r="B10" s="3" t="s">
        <v>22</v>
      </c>
      <c r="C10" s="4" t="s">
        <v>23</v>
      </c>
      <c r="D10" s="4" t="s">
        <v>13</v>
      </c>
      <c r="E10" s="4" t="s">
        <v>18</v>
      </c>
      <c r="F10" s="4" t="s">
        <v>21</v>
      </c>
    </row>
    <row r="11" ht="36.75" customHeight="1" spans="1:6">
      <c r="A11" s="4" t="s">
        <v>10</v>
      </c>
      <c r="B11" s="3" t="s">
        <v>24</v>
      </c>
      <c r="C11" s="4" t="s">
        <v>25</v>
      </c>
      <c r="D11" s="4" t="s">
        <v>26</v>
      </c>
      <c r="E11" s="4" t="s">
        <v>27</v>
      </c>
      <c r="F11" s="4" t="s">
        <v>21</v>
      </c>
    </row>
    <row r="12" ht="36.75" customHeight="1" spans="1:6">
      <c r="A12" s="4" t="s">
        <v>10</v>
      </c>
      <c r="B12" s="6" t="s">
        <v>28</v>
      </c>
      <c r="C12" s="4" t="s">
        <v>29</v>
      </c>
      <c r="D12" s="4" t="s">
        <v>30</v>
      </c>
      <c r="E12" s="4" t="s">
        <v>27</v>
      </c>
      <c r="F12" s="4" t="s">
        <v>21</v>
      </c>
    </row>
    <row r="13" ht="24" customHeight="1" spans="1:6">
      <c r="A13" s="4" t="s">
        <v>10</v>
      </c>
      <c r="B13" s="3" t="s">
        <v>31</v>
      </c>
      <c r="C13" s="4" t="s">
        <v>32</v>
      </c>
      <c r="D13" s="4" t="s">
        <v>33</v>
      </c>
      <c r="E13" s="4" t="s">
        <v>18</v>
      </c>
      <c r="F13" s="4" t="s">
        <v>34</v>
      </c>
    </row>
    <row r="14" ht="36.75" customHeight="1" spans="1:6">
      <c r="A14" s="4" t="s">
        <v>35</v>
      </c>
      <c r="B14" s="3" t="s">
        <v>36</v>
      </c>
      <c r="C14" s="4" t="s">
        <v>37</v>
      </c>
      <c r="D14" s="4" t="s">
        <v>38</v>
      </c>
      <c r="E14" s="4" t="s">
        <v>14</v>
      </c>
      <c r="F14" s="4" t="s">
        <v>15</v>
      </c>
    </row>
    <row r="15" ht="24" customHeight="1" spans="1:6">
      <c r="A15" s="4" t="s">
        <v>35</v>
      </c>
      <c r="B15" s="3" t="s">
        <v>39</v>
      </c>
      <c r="C15" s="4" t="s">
        <v>40</v>
      </c>
      <c r="D15" s="4" t="s">
        <v>41</v>
      </c>
      <c r="E15" s="4" t="s">
        <v>18</v>
      </c>
      <c r="F15" s="4" t="s">
        <v>15</v>
      </c>
    </row>
    <row r="16" ht="36.75" customHeight="1" spans="1:6">
      <c r="A16" s="4" t="s">
        <v>35</v>
      </c>
      <c r="B16" s="3" t="s">
        <v>42</v>
      </c>
      <c r="C16" s="4" t="s">
        <v>43</v>
      </c>
      <c r="D16" s="4" t="s">
        <v>41</v>
      </c>
      <c r="E16" s="4" t="s">
        <v>27</v>
      </c>
      <c r="F16" s="4" t="s">
        <v>15</v>
      </c>
    </row>
    <row r="17" ht="36.75" customHeight="1" spans="1:6">
      <c r="A17" s="4" t="s">
        <v>44</v>
      </c>
      <c r="B17" s="3" t="s">
        <v>45</v>
      </c>
      <c r="C17" s="4" t="s">
        <v>46</v>
      </c>
      <c r="D17" s="4" t="s">
        <v>47</v>
      </c>
      <c r="E17" s="4" t="s">
        <v>14</v>
      </c>
      <c r="F17" s="4" t="s">
        <v>15</v>
      </c>
    </row>
    <row r="18" ht="36.75" customHeight="1" spans="1:6">
      <c r="A18" s="4" t="s">
        <v>44</v>
      </c>
      <c r="B18" s="3" t="s">
        <v>48</v>
      </c>
      <c r="C18" s="4" t="s">
        <v>49</v>
      </c>
      <c r="D18" s="4" t="s">
        <v>38</v>
      </c>
      <c r="E18" s="4" t="s">
        <v>50</v>
      </c>
      <c r="F18" s="4" t="s">
        <v>51</v>
      </c>
    </row>
    <row r="19" ht="36.75" customHeight="1" spans="1:6">
      <c r="A19" s="4" t="s">
        <v>44</v>
      </c>
      <c r="B19" s="3" t="s">
        <v>52</v>
      </c>
      <c r="C19" s="4" t="s">
        <v>53</v>
      </c>
      <c r="D19" s="4" t="s">
        <v>38</v>
      </c>
      <c r="E19" s="4" t="s">
        <v>50</v>
      </c>
      <c r="F19" s="4" t="s">
        <v>51</v>
      </c>
    </row>
    <row r="20" ht="36.75" customHeight="1" spans="1:6">
      <c r="A20" s="4" t="s">
        <v>44</v>
      </c>
      <c r="B20" s="6" t="s">
        <v>54</v>
      </c>
      <c r="C20" s="5" t="s">
        <v>55</v>
      </c>
      <c r="D20" s="4" t="s">
        <v>56</v>
      </c>
      <c r="E20" s="4" t="s">
        <v>50</v>
      </c>
      <c r="F20" s="4" t="s">
        <v>57</v>
      </c>
    </row>
    <row r="21" ht="36.75" customHeight="1" spans="1:6">
      <c r="A21" s="4" t="s">
        <v>44</v>
      </c>
      <c r="B21" s="3" t="s">
        <v>58</v>
      </c>
      <c r="C21" s="4" t="s">
        <v>59</v>
      </c>
      <c r="D21" s="4" t="s">
        <v>13</v>
      </c>
      <c r="E21" s="4" t="s">
        <v>27</v>
      </c>
      <c r="F21" s="4" t="s">
        <v>60</v>
      </c>
    </row>
    <row r="22" ht="34.5" customHeight="1" spans="1:6">
      <c r="A22" s="15" t="s">
        <v>61</v>
      </c>
      <c r="B22" s="15"/>
      <c r="C22" s="15"/>
      <c r="D22" s="15"/>
      <c r="E22" s="15"/>
      <c r="F22" s="15"/>
    </row>
    <row r="24" ht="24" customHeight="1" spans="1:6">
      <c r="A24" s="28" t="s">
        <v>62</v>
      </c>
      <c r="B24" s="29"/>
      <c r="C24" s="29"/>
      <c r="D24" s="29"/>
      <c r="E24" s="29"/>
      <c r="F24" s="29"/>
    </row>
    <row r="25" ht="34.5" customHeight="1" spans="1:6">
      <c r="A25" s="30" t="s">
        <v>63</v>
      </c>
      <c r="B25" s="30"/>
      <c r="C25" s="30"/>
      <c r="D25" s="30"/>
      <c r="E25" s="30"/>
      <c r="F25" s="30"/>
    </row>
    <row r="26" ht="31.5" customHeight="1" spans="1:6">
      <c r="A26" s="2" t="s">
        <v>64</v>
      </c>
      <c r="B26" s="2" t="s">
        <v>65</v>
      </c>
      <c r="C26" s="2" t="s">
        <v>66</v>
      </c>
      <c r="D26" s="2" t="s">
        <v>67</v>
      </c>
    </row>
    <row r="27" ht="66" customHeight="1" spans="1:6">
      <c r="A27" s="31" t="s">
        <v>68</v>
      </c>
      <c r="B27" s="4" t="s">
        <v>69</v>
      </c>
      <c r="C27" s="4" t="s">
        <v>70</v>
      </c>
      <c r="D27" s="4" t="s">
        <v>71</v>
      </c>
    </row>
    <row r="28" ht="94.5" customHeight="1" spans="1:6">
      <c r="A28" s="31" t="s">
        <v>72</v>
      </c>
      <c r="B28" s="4" t="s">
        <v>73</v>
      </c>
      <c r="C28" s="4" t="s">
        <v>74</v>
      </c>
      <c r="D28" s="4" t="s">
        <v>75</v>
      </c>
    </row>
    <row r="29" ht="66" customHeight="1" spans="1:6">
      <c r="A29" s="31" t="s">
        <v>76</v>
      </c>
      <c r="B29" s="4" t="s">
        <v>77</v>
      </c>
      <c r="C29" s="4" t="s">
        <v>78</v>
      </c>
      <c r="D29" s="4" t="s">
        <v>79</v>
      </c>
    </row>
    <row r="31" ht="31.5" customHeight="1" spans="1:6">
      <c r="A31" s="2" t="s">
        <v>80</v>
      </c>
      <c r="B31" s="2" t="s">
        <v>65</v>
      </c>
      <c r="C31" s="2" t="s">
        <v>81</v>
      </c>
      <c r="D31" s="2"/>
      <c r="E31" s="2"/>
      <c r="F31" s="2"/>
    </row>
    <row r="32" ht="24" customHeight="1" spans="1:6">
      <c r="A32" s="32" t="s">
        <v>82</v>
      </c>
      <c r="B32" s="4" t="s">
        <v>83</v>
      </c>
      <c r="C32" s="4" t="s">
        <v>84</v>
      </c>
      <c r="D32" s="4"/>
      <c r="E32" s="4"/>
      <c r="F32" s="4"/>
    </row>
    <row r="33" ht="36.75" customHeight="1" spans="1:6">
      <c r="A33" s="32" t="s">
        <v>85</v>
      </c>
      <c r="B33" s="4" t="s">
        <v>86</v>
      </c>
      <c r="C33" s="4" t="s">
        <v>87</v>
      </c>
      <c r="D33" s="4"/>
      <c r="E33" s="4"/>
      <c r="F33" s="4"/>
    </row>
    <row r="34" ht="24" customHeight="1" spans="1:6">
      <c r="A34" s="32" t="s">
        <v>88</v>
      </c>
      <c r="B34" s="4" t="s">
        <v>89</v>
      </c>
      <c r="C34" s="4" t="s">
        <v>90</v>
      </c>
      <c r="D34" s="4"/>
      <c r="E34" s="4"/>
      <c r="F34" s="4"/>
    </row>
    <row r="36" ht="24" customHeight="1" spans="1:6">
      <c r="A36" s="28" t="s">
        <v>91</v>
      </c>
      <c r="B36" s="29"/>
      <c r="C36" s="29"/>
      <c r="D36" s="29"/>
      <c r="E36" s="29"/>
      <c r="F36" s="29"/>
    </row>
    <row r="37" ht="34.5" customHeight="1" spans="1:6">
      <c r="A37" s="30" t="s">
        <v>92</v>
      </c>
      <c r="B37" s="30"/>
      <c r="C37" s="30"/>
      <c r="D37" s="30"/>
      <c r="E37" s="30"/>
      <c r="F37" s="30"/>
    </row>
    <row r="38" ht="31.5" customHeight="1" spans="1:6">
      <c r="A38" s="2" t="s">
        <v>93</v>
      </c>
      <c r="B38" s="2" t="s">
        <v>94</v>
      </c>
      <c r="C38" s="2" t="s">
        <v>95</v>
      </c>
      <c r="D38" s="2" t="s">
        <v>96</v>
      </c>
      <c r="E38" s="2" t="s">
        <v>97</v>
      </c>
      <c r="F38" s="2" t="s">
        <v>98</v>
      </c>
    </row>
    <row r="39" ht="94.5" customHeight="1" spans="1:6">
      <c r="A39" s="3" t="s">
        <v>99</v>
      </c>
      <c r="B39" s="4" t="s">
        <v>100</v>
      </c>
      <c r="C39" s="4" t="s">
        <v>101</v>
      </c>
      <c r="D39" s="4" t="s">
        <v>102</v>
      </c>
      <c r="E39" s="25">
        <f>COUNTIF(指标清单!$M$2:$M$54,$A39)</f>
        <v>18</v>
      </c>
      <c r="F39" s="5" t="s">
        <v>103</v>
      </c>
    </row>
    <row r="40" ht="94.5" customHeight="1" spans="1:6">
      <c r="A40" s="3" t="s">
        <v>104</v>
      </c>
      <c r="B40" s="4" t="s">
        <v>105</v>
      </c>
      <c r="C40" s="4" t="s">
        <v>106</v>
      </c>
      <c r="D40" s="4" t="s">
        <v>107</v>
      </c>
      <c r="E40" s="25">
        <f>COUNTIF(指标清单!$M$2:$M$54,$A40)</f>
        <v>10</v>
      </c>
      <c r="F40" s="5" t="s">
        <v>103</v>
      </c>
    </row>
    <row r="41" ht="66" customHeight="1" spans="1:6">
      <c r="A41" s="3" t="s">
        <v>108</v>
      </c>
      <c r="B41" s="4" t="s">
        <v>109</v>
      </c>
      <c r="C41" s="4" t="s">
        <v>110</v>
      </c>
      <c r="D41" s="4" t="s">
        <v>111</v>
      </c>
      <c r="E41" s="25">
        <f>COUNTIF(指标清单!$M$2:$M$54,$A41)</f>
        <v>6</v>
      </c>
      <c r="F41" s="5" t="s">
        <v>112</v>
      </c>
    </row>
    <row r="42" ht="51" customHeight="1" spans="1:6">
      <c r="A42" s="6" t="s">
        <v>113</v>
      </c>
      <c r="B42" s="4" t="s">
        <v>114</v>
      </c>
      <c r="C42" s="4" t="s">
        <v>115</v>
      </c>
      <c r="D42" s="5" t="s">
        <v>116</v>
      </c>
      <c r="E42" s="25">
        <f>COUNTIF(指标清单!$M$2:$M$54,$A42)</f>
        <v>1</v>
      </c>
      <c r="F42" s="5" t="s">
        <v>103</v>
      </c>
    </row>
    <row r="43" ht="66" customHeight="1" spans="1:6">
      <c r="A43" s="3" t="s">
        <v>117</v>
      </c>
      <c r="B43" s="4" t="s">
        <v>118</v>
      </c>
      <c r="C43" s="4" t="s">
        <v>119</v>
      </c>
      <c r="D43" s="4" t="s">
        <v>120</v>
      </c>
      <c r="E43" s="25">
        <f>COUNTIF(指标清单!$M$2:$M$54,$A43)</f>
        <v>2</v>
      </c>
      <c r="F43" s="5" t="s">
        <v>121</v>
      </c>
    </row>
    <row r="44" ht="181.5" customHeight="1" spans="1:6">
      <c r="A44" s="3" t="s">
        <v>122</v>
      </c>
      <c r="B44" s="4" t="s">
        <v>123</v>
      </c>
      <c r="C44" s="4" t="s">
        <v>124</v>
      </c>
      <c r="D44" s="4" t="s">
        <v>125</v>
      </c>
      <c r="E44" s="25">
        <f>COUNTIF(指标清单!$M$2:$M$54,$A44)</f>
        <v>1</v>
      </c>
      <c r="F44" s="4" t="s">
        <v>126</v>
      </c>
    </row>
    <row r="45" spans="1:6">
      <c r="A45" s="3" t="s">
        <v>127</v>
      </c>
      <c r="B45" s="4"/>
      <c r="C45" s="4"/>
      <c r="D45" s="4"/>
      <c r="E45" s="32">
        <f>SUM(E39:E44)</f>
        <v>38</v>
      </c>
      <c r="F45" s="4"/>
    </row>
    <row r="47" ht="24" customHeight="1" spans="1:6">
      <c r="A47" s="28" t="s">
        <v>128</v>
      </c>
      <c r="B47" s="29"/>
      <c r="C47" s="29"/>
      <c r="D47" s="29"/>
      <c r="E47" s="29"/>
      <c r="F47" s="29"/>
    </row>
    <row r="48" ht="31.5" customHeight="1" spans="1:6">
      <c r="A48" s="2" t="s">
        <v>129</v>
      </c>
      <c r="B48" s="2" t="s">
        <v>95</v>
      </c>
      <c r="C48" s="2" t="s">
        <v>130</v>
      </c>
    </row>
    <row r="49" ht="21.75" customHeight="1" spans="1:6">
      <c r="A49" s="3" t="s">
        <v>131</v>
      </c>
      <c r="B49" s="4" t="s">
        <v>132</v>
      </c>
      <c r="C49" s="33">
        <v>65</v>
      </c>
    </row>
    <row r="50" ht="21.75" customHeight="1" spans="1:6">
      <c r="A50" s="3" t="s">
        <v>133</v>
      </c>
      <c r="B50" s="4" t="s">
        <v>134</v>
      </c>
      <c r="C50" s="33">
        <f>COUNTA(已排除指标!$A$5:$A$16)</f>
        <v>12</v>
      </c>
    </row>
    <row r="51" ht="21.75" customHeight="1" spans="1:6">
      <c r="A51" s="3" t="s">
        <v>135</v>
      </c>
      <c r="B51" s="4" t="s">
        <v>136</v>
      </c>
      <c r="C51" s="33">
        <f>C49-C50</f>
        <v>53</v>
      </c>
    </row>
    <row r="52" ht="21.75" customHeight="1" spans="1:6">
      <c r="A52" s="3" t="s">
        <v>137</v>
      </c>
      <c r="B52" s="4"/>
      <c r="C52" s="33">
        <f>COUNTIF(指标清单!$E$2:$E$54,"选入")</f>
        <v>15</v>
      </c>
    </row>
    <row r="53" ht="21.75" customHeight="1" spans="1:6">
      <c r="A53" s="3" t="s">
        <v>138</v>
      </c>
      <c r="B53" s="4"/>
      <c r="C53" s="33">
        <f>COUNTIF(指标清单!$E$2:$E$54,"不选入")</f>
        <v>38</v>
      </c>
    </row>
    <row r="54" ht="21.75" customHeight="1" spans="1:6">
      <c r="A54" s="3" t="s">
        <v>139</v>
      </c>
      <c r="B54" s="4" t="s">
        <v>140</v>
      </c>
      <c r="C54" s="33" t="str">
        <f>IF(C52+C53=C51,"一致","不一致")</f>
        <v>一致</v>
      </c>
    </row>
    <row r="56" ht="31.5" customHeight="1" spans="1:6">
      <c r="A56" s="2" t="s">
        <v>4</v>
      </c>
      <c r="B56" s="2" t="s">
        <v>141</v>
      </c>
      <c r="C56" s="2" t="s">
        <v>142</v>
      </c>
      <c r="D56" s="2" t="s">
        <v>143</v>
      </c>
      <c r="E56" s="2" t="s">
        <v>137</v>
      </c>
      <c r="F56" s="2" t="s">
        <v>138</v>
      </c>
    </row>
    <row r="57" ht="36.75" customHeight="1" spans="1:6">
      <c r="A57" s="3" t="s">
        <v>10</v>
      </c>
      <c r="B57" s="4" t="s">
        <v>144</v>
      </c>
      <c r="C57" s="5" t="s">
        <v>145</v>
      </c>
      <c r="D57" s="25">
        <f>COUNTIF(指标清单!$B$2:$B$54,$A57)</f>
        <v>19</v>
      </c>
      <c r="E57" s="25">
        <f>COUNTIFS(指标清单!$B$2:$B$54,$A57,指标清单!$E$2:$E$54,"选入")</f>
        <v>7</v>
      </c>
      <c r="F57" s="25">
        <f>COUNTIFS(指标清单!$B$2:$B$54,$A57,指标清单!$E$2:$E$54,"不选入")</f>
        <v>12</v>
      </c>
    </row>
    <row r="58" ht="36.75" customHeight="1" spans="1:6">
      <c r="A58" s="3" t="s">
        <v>35</v>
      </c>
      <c r="B58" s="4" t="s">
        <v>146</v>
      </c>
      <c r="C58" s="4" t="s">
        <v>147</v>
      </c>
      <c r="D58" s="25">
        <f>COUNTIF(指标清单!$B$2:$B$54,$A58)</f>
        <v>15</v>
      </c>
      <c r="E58" s="25">
        <f>COUNTIFS(指标清单!$B$2:$B$54,$A58,指标清单!$E$2:$E$54,"选入")</f>
        <v>3</v>
      </c>
      <c r="F58" s="25">
        <f>COUNTIFS(指标清单!$B$2:$B$54,$A58,指标清单!$E$2:$E$54,"不选入")</f>
        <v>12</v>
      </c>
    </row>
    <row r="59" ht="36.75" customHeight="1" spans="1:6">
      <c r="A59" s="3" t="s">
        <v>44</v>
      </c>
      <c r="B59" s="4" t="s">
        <v>148</v>
      </c>
      <c r="C59" s="4" t="s">
        <v>149</v>
      </c>
      <c r="D59" s="25">
        <f>COUNTIF(指标清单!$B$2:$B$54,$A59)</f>
        <v>19</v>
      </c>
      <c r="E59" s="25">
        <f>COUNTIFS(指标清单!$B$2:$B$54,$A59,指标清单!$E$2:$E$54,"选入")</f>
        <v>5</v>
      </c>
      <c r="F59" s="25">
        <f>COUNTIFS(指标清单!$B$2:$B$54,$A59,指标清单!$E$2:$E$54,"不选入")</f>
        <v>14</v>
      </c>
    </row>
    <row r="60" spans="1:6">
      <c r="A60" s="3" t="s">
        <v>127</v>
      </c>
      <c r="B60" s="4"/>
      <c r="C60" s="4"/>
      <c r="D60" s="32">
        <f>SUM(D57:D59)</f>
        <v>53</v>
      </c>
      <c r="E60" s="32">
        <f>SUM(E57:E59)</f>
        <v>15</v>
      </c>
      <c r="F60" s="32">
        <f>SUM(F57:F59)</f>
        <v>38</v>
      </c>
    </row>
  </sheetData>
  <mergeCells count="9">
    <mergeCell ref="A2:F2"/>
    <mergeCell ref="A3:F3"/>
    <mergeCell ref="A22:F22"/>
    <mergeCell ref="A25:F25"/>
    <mergeCell ref="C31:F31"/>
    <mergeCell ref="C32:F32"/>
    <mergeCell ref="C33:F33"/>
    <mergeCell ref="C34:F34"/>
    <mergeCell ref="A37:F37"/>
  </mergeCells>
  <pageMargins left="0.4" right="0.4" top="1" bottom="1" header="0.511811023622047" footer="0.511811023622047"/>
  <pageSetup paperSize="9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2E6B34"/>
    <pageSetUpPr fitToPage="1"/>
  </sheetPr>
  <dimension ref="A1:X54"/>
  <sheetViews>
    <sheetView workbookViewId="0">
      <pane xSplit="5" ySplit="1" topLeftCell="F17" activePane="bottomRight" state="frozen"/>
      <selection/>
      <selection pane="topRight"/>
      <selection pane="bottomLeft"/>
      <selection pane="bottomRight" activeCell="G3" sqref="G3"/>
    </sheetView>
  </sheetViews>
  <sheetFormatPr defaultColWidth="8.67619047619048" defaultRowHeight="15"/>
  <cols>
    <col min="1" max="1" width="5" customWidth="1"/>
    <col min="2" max="2" width="9" customWidth="1"/>
    <col min="3" max="3" width="11" customWidth="1"/>
    <col min="4" max="4" width="27" customWidth="1"/>
    <col min="5" max="5" width="8" customWidth="1"/>
    <col min="6" max="6" width="30" customWidth="1"/>
    <col min="7" max="7" width="64" customWidth="1"/>
    <col min="8" max="8" width="26" customWidth="1"/>
    <col min="9" max="9" width="20" customWidth="1"/>
    <col min="10" max="10" width="16" customWidth="1"/>
    <col min="11" max="11" width="26" customWidth="1"/>
    <col min="12" max="12" width="44" customWidth="1"/>
    <col min="13" max="13" width="14" customWidth="1"/>
    <col min="14" max="14" width="16" customWidth="1"/>
    <col min="15" max="15" width="12" customWidth="1" outlineLevel="1"/>
    <col min="16" max="16" width="34" customWidth="1" outlineLevel="1"/>
    <col min="17" max="17" width="30" customWidth="1" outlineLevel="1"/>
    <col min="18" max="18" width="44" customWidth="1" outlineLevel="1"/>
    <col min="19" max="19" width="40" customWidth="1" outlineLevel="1"/>
    <col min="20" max="20" width="10" customWidth="1" outlineLevel="1"/>
    <col min="21" max="21" width="24" customWidth="1" outlineLevel="1"/>
    <col min="22" max="23" width="22" customWidth="1" outlineLevel="1"/>
    <col min="24" max="24" width="12" customWidth="1" outlineLevel="1"/>
  </cols>
  <sheetData>
    <row r="1" ht="39.75" customHeight="1" spans="1:24">
      <c r="A1" s="2" t="s">
        <v>150</v>
      </c>
      <c r="B1" s="2" t="s">
        <v>4</v>
      </c>
      <c r="C1" s="2" t="s">
        <v>9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7</v>
      </c>
      <c r="I1" s="2" t="s">
        <v>8</v>
      </c>
      <c r="J1" s="2" t="s">
        <v>155</v>
      </c>
      <c r="K1" s="2" t="s">
        <v>156</v>
      </c>
      <c r="L1" s="2" t="s">
        <v>157</v>
      </c>
      <c r="M1" s="2" t="s">
        <v>158</v>
      </c>
      <c r="N1" s="2" t="s">
        <v>98</v>
      </c>
      <c r="O1" s="2" t="s">
        <v>141</v>
      </c>
      <c r="P1" s="2" t="s">
        <v>159</v>
      </c>
      <c r="Q1" s="2" t="s">
        <v>160</v>
      </c>
      <c r="R1" s="2" t="s">
        <v>161</v>
      </c>
      <c r="S1" s="2" t="s">
        <v>162</v>
      </c>
      <c r="T1" s="2" t="s">
        <v>163</v>
      </c>
      <c r="U1" s="2" t="s">
        <v>164</v>
      </c>
      <c r="V1" s="2" t="s">
        <v>165</v>
      </c>
      <c r="W1" s="2" t="s">
        <v>166</v>
      </c>
      <c r="X1" s="2" t="s">
        <v>167</v>
      </c>
    </row>
    <row r="2" ht="123.75" hidden="1" customHeight="1" spans="1:24">
      <c r="A2" s="25">
        <v>1</v>
      </c>
      <c r="B2" s="4" t="s">
        <v>10</v>
      </c>
      <c r="C2" s="4" t="s">
        <v>15</v>
      </c>
      <c r="D2" s="3" t="s">
        <v>11</v>
      </c>
      <c r="E2" s="10" t="s">
        <v>137</v>
      </c>
      <c r="F2" s="4" t="s">
        <v>12</v>
      </c>
      <c r="G2" s="4" t="s">
        <v>168</v>
      </c>
      <c r="H2" s="4" t="s">
        <v>13</v>
      </c>
      <c r="I2" s="4" t="s">
        <v>14</v>
      </c>
      <c r="J2" s="5" t="s">
        <v>169</v>
      </c>
      <c r="K2" s="5" t="s">
        <v>170</v>
      </c>
      <c r="L2" s="4" t="s">
        <v>171</v>
      </c>
      <c r="M2" s="5" t="s">
        <v>169</v>
      </c>
      <c r="N2" s="5" t="s">
        <v>169</v>
      </c>
      <c r="O2" s="5" t="s">
        <v>172</v>
      </c>
      <c r="P2" s="19" t="s">
        <v>173</v>
      </c>
      <c r="Q2" s="4" t="s">
        <v>174</v>
      </c>
      <c r="R2" s="4" t="s">
        <v>175</v>
      </c>
      <c r="S2" s="5" t="s">
        <v>176</v>
      </c>
      <c r="T2" s="17" t="s">
        <v>177</v>
      </c>
      <c r="U2" s="5" t="s">
        <v>178</v>
      </c>
      <c r="V2" s="5" t="s">
        <v>179</v>
      </c>
      <c r="W2" s="5" t="s">
        <v>180</v>
      </c>
      <c r="X2" s="4" t="s">
        <v>181</v>
      </c>
    </row>
    <row r="3" ht="66" hidden="1" customHeight="1" spans="1:24">
      <c r="A3" s="17">
        <v>2</v>
      </c>
      <c r="B3" s="4" t="s">
        <v>10</v>
      </c>
      <c r="C3" s="4" t="s">
        <v>15</v>
      </c>
      <c r="D3" s="3" t="s">
        <v>16</v>
      </c>
      <c r="E3" s="10" t="s">
        <v>137</v>
      </c>
      <c r="F3" s="4" t="s">
        <v>17</v>
      </c>
      <c r="G3" s="4" t="s">
        <v>182</v>
      </c>
      <c r="H3" s="4" t="s">
        <v>13</v>
      </c>
      <c r="I3" s="4" t="s">
        <v>18</v>
      </c>
      <c r="J3" s="5" t="s">
        <v>183</v>
      </c>
      <c r="K3" s="5" t="s">
        <v>169</v>
      </c>
      <c r="L3" s="4" t="s">
        <v>184</v>
      </c>
      <c r="M3" s="5" t="s">
        <v>169</v>
      </c>
      <c r="N3" s="5" t="s">
        <v>169</v>
      </c>
      <c r="O3" s="5" t="s">
        <v>172</v>
      </c>
      <c r="P3" s="19" t="s">
        <v>185</v>
      </c>
      <c r="Q3" s="4" t="s">
        <v>186</v>
      </c>
      <c r="R3" s="4" t="s">
        <v>187</v>
      </c>
      <c r="S3" s="5" t="s">
        <v>188</v>
      </c>
      <c r="T3" s="17" t="s">
        <v>177</v>
      </c>
      <c r="U3" s="5" t="s">
        <v>189</v>
      </c>
      <c r="V3" s="5" t="s">
        <v>190</v>
      </c>
      <c r="W3" s="5" t="s">
        <v>191</v>
      </c>
      <c r="X3" s="4" t="s">
        <v>181</v>
      </c>
    </row>
    <row r="4" ht="80.25" hidden="1" customHeight="1" spans="1:24">
      <c r="A4" s="17">
        <v>3</v>
      </c>
      <c r="B4" s="4" t="s">
        <v>10</v>
      </c>
      <c r="C4" s="4" t="s">
        <v>21</v>
      </c>
      <c r="D4" s="3" t="s">
        <v>19</v>
      </c>
      <c r="E4" s="10" t="s">
        <v>137</v>
      </c>
      <c r="F4" s="4" t="s">
        <v>20</v>
      </c>
      <c r="G4" s="4" t="s">
        <v>192</v>
      </c>
      <c r="H4" s="4" t="s">
        <v>13</v>
      </c>
      <c r="I4" s="4" t="s">
        <v>14</v>
      </c>
      <c r="J4" s="5" t="s">
        <v>169</v>
      </c>
      <c r="K4" s="5" t="s">
        <v>193</v>
      </c>
      <c r="L4" s="4" t="s">
        <v>194</v>
      </c>
      <c r="M4" s="5" t="s">
        <v>169</v>
      </c>
      <c r="N4" s="5" t="s">
        <v>169</v>
      </c>
      <c r="O4" s="5" t="s">
        <v>172</v>
      </c>
      <c r="P4" s="19" t="s">
        <v>195</v>
      </c>
      <c r="Q4" s="4" t="s">
        <v>196</v>
      </c>
      <c r="R4" s="4" t="s">
        <v>197</v>
      </c>
      <c r="S4" s="5" t="s">
        <v>188</v>
      </c>
      <c r="T4" s="17" t="s">
        <v>177</v>
      </c>
      <c r="U4" s="5" t="s">
        <v>198</v>
      </c>
      <c r="V4" s="5" t="s">
        <v>199</v>
      </c>
      <c r="W4" s="5" t="s">
        <v>200</v>
      </c>
      <c r="X4" s="4" t="s">
        <v>181</v>
      </c>
    </row>
    <row r="5" ht="51" hidden="1" customHeight="1" spans="1:24">
      <c r="A5" s="17">
        <v>4</v>
      </c>
      <c r="B5" s="4" t="s">
        <v>10</v>
      </c>
      <c r="C5" s="4" t="s">
        <v>21</v>
      </c>
      <c r="D5" s="3" t="s">
        <v>22</v>
      </c>
      <c r="E5" s="10" t="s">
        <v>137</v>
      </c>
      <c r="F5" s="4" t="s">
        <v>23</v>
      </c>
      <c r="G5" s="4" t="s">
        <v>201</v>
      </c>
      <c r="H5" s="4" t="s">
        <v>13</v>
      </c>
      <c r="I5" s="4" t="s">
        <v>18</v>
      </c>
      <c r="J5" s="5" t="s">
        <v>202</v>
      </c>
      <c r="K5" s="5" t="s">
        <v>169</v>
      </c>
      <c r="L5" s="4" t="s">
        <v>203</v>
      </c>
      <c r="M5" s="5" t="s">
        <v>169</v>
      </c>
      <c r="N5" s="5" t="s">
        <v>169</v>
      </c>
      <c r="O5" s="5" t="s">
        <v>172</v>
      </c>
      <c r="P5" s="19" t="s">
        <v>204</v>
      </c>
      <c r="Q5" s="4" t="s">
        <v>205</v>
      </c>
      <c r="R5" s="4" t="s">
        <v>206</v>
      </c>
      <c r="S5" s="5" t="s">
        <v>188</v>
      </c>
      <c r="T5" s="17" t="s">
        <v>177</v>
      </c>
      <c r="U5" s="5" t="s">
        <v>207</v>
      </c>
      <c r="V5" s="5" t="s">
        <v>190</v>
      </c>
      <c r="W5" s="5" t="s">
        <v>191</v>
      </c>
      <c r="X5" s="4" t="s">
        <v>181</v>
      </c>
    </row>
    <row r="6" ht="123.75" hidden="1" customHeight="1" spans="1:24">
      <c r="A6" s="17">
        <v>5</v>
      </c>
      <c r="B6" s="4" t="s">
        <v>10</v>
      </c>
      <c r="C6" s="4" t="s">
        <v>21</v>
      </c>
      <c r="D6" s="3" t="s">
        <v>24</v>
      </c>
      <c r="E6" s="10" t="s">
        <v>137</v>
      </c>
      <c r="F6" s="4" t="s">
        <v>25</v>
      </c>
      <c r="G6" s="5" t="s">
        <v>208</v>
      </c>
      <c r="H6" s="4" t="s">
        <v>26</v>
      </c>
      <c r="I6" s="4" t="s">
        <v>27</v>
      </c>
      <c r="J6" s="5" t="s">
        <v>169</v>
      </c>
      <c r="K6" s="5" t="s">
        <v>169</v>
      </c>
      <c r="L6" s="5" t="s">
        <v>169</v>
      </c>
      <c r="M6" s="5" t="s">
        <v>169</v>
      </c>
      <c r="N6" s="5" t="s">
        <v>169</v>
      </c>
      <c r="O6" s="5" t="s">
        <v>172</v>
      </c>
      <c r="P6" s="19" t="s">
        <v>209</v>
      </c>
      <c r="Q6" s="4" t="s">
        <v>210</v>
      </c>
      <c r="R6" s="4" t="s">
        <v>211</v>
      </c>
      <c r="S6" s="5" t="s">
        <v>188</v>
      </c>
      <c r="T6" s="17" t="s">
        <v>177</v>
      </c>
      <c r="U6" s="5" t="s">
        <v>212</v>
      </c>
      <c r="V6" s="5" t="s">
        <v>213</v>
      </c>
      <c r="W6" s="5" t="s">
        <v>214</v>
      </c>
      <c r="X6" s="4" t="s">
        <v>181</v>
      </c>
    </row>
    <row r="7" ht="66" hidden="1" customHeight="1" spans="1:24">
      <c r="A7" s="17">
        <v>6</v>
      </c>
      <c r="B7" s="4" t="s">
        <v>10</v>
      </c>
      <c r="C7" s="4" t="s">
        <v>21</v>
      </c>
      <c r="D7" s="6" t="s">
        <v>28</v>
      </c>
      <c r="E7" s="10" t="s">
        <v>137</v>
      </c>
      <c r="F7" s="4" t="s">
        <v>29</v>
      </c>
      <c r="G7" s="4" t="s">
        <v>215</v>
      </c>
      <c r="H7" s="4" t="s">
        <v>30</v>
      </c>
      <c r="I7" s="4" t="s">
        <v>27</v>
      </c>
      <c r="J7" s="5" t="s">
        <v>169</v>
      </c>
      <c r="K7" s="5" t="s">
        <v>169</v>
      </c>
      <c r="L7" s="5" t="s">
        <v>169</v>
      </c>
      <c r="M7" s="5" t="s">
        <v>169</v>
      </c>
      <c r="N7" s="5" t="s">
        <v>169</v>
      </c>
      <c r="O7" s="5" t="s">
        <v>172</v>
      </c>
      <c r="P7" s="19" t="s">
        <v>216</v>
      </c>
      <c r="Q7" s="5" t="s">
        <v>217</v>
      </c>
      <c r="R7" s="5" t="s">
        <v>218</v>
      </c>
      <c r="S7" s="5" t="s">
        <v>188</v>
      </c>
      <c r="T7" s="17" t="s">
        <v>177</v>
      </c>
      <c r="U7" s="5" t="s">
        <v>219</v>
      </c>
      <c r="V7" s="5" t="s">
        <v>190</v>
      </c>
      <c r="W7" s="5" t="s">
        <v>191</v>
      </c>
      <c r="X7" s="4" t="s">
        <v>181</v>
      </c>
    </row>
    <row r="8" ht="66" hidden="1" customHeight="1" spans="1:24">
      <c r="A8" s="17">
        <v>7</v>
      </c>
      <c r="B8" s="4" t="s">
        <v>10</v>
      </c>
      <c r="C8" s="4" t="s">
        <v>34</v>
      </c>
      <c r="D8" s="3" t="s">
        <v>31</v>
      </c>
      <c r="E8" s="10" t="s">
        <v>137</v>
      </c>
      <c r="F8" s="4" t="s">
        <v>32</v>
      </c>
      <c r="G8" s="4" t="s">
        <v>220</v>
      </c>
      <c r="H8" s="4" t="s">
        <v>33</v>
      </c>
      <c r="I8" s="4" t="s">
        <v>18</v>
      </c>
      <c r="J8" s="5" t="s">
        <v>221</v>
      </c>
      <c r="K8" s="5" t="s">
        <v>169</v>
      </c>
      <c r="L8" s="4" t="s">
        <v>222</v>
      </c>
      <c r="M8" s="5" t="s">
        <v>169</v>
      </c>
      <c r="N8" s="5" t="s">
        <v>169</v>
      </c>
      <c r="O8" s="5" t="s">
        <v>172</v>
      </c>
      <c r="P8" s="19" t="s">
        <v>223</v>
      </c>
      <c r="Q8" s="4" t="s">
        <v>224</v>
      </c>
      <c r="R8" s="4" t="s">
        <v>225</v>
      </c>
      <c r="S8" s="5" t="s">
        <v>226</v>
      </c>
      <c r="T8" s="17" t="s">
        <v>227</v>
      </c>
      <c r="U8" s="5" t="s">
        <v>228</v>
      </c>
      <c r="V8" s="5" t="s">
        <v>229</v>
      </c>
      <c r="W8" s="5" t="s">
        <v>169</v>
      </c>
      <c r="X8" s="4" t="s">
        <v>230</v>
      </c>
    </row>
    <row r="9" ht="80.25" customHeight="1" spans="1:24">
      <c r="A9" s="17">
        <v>8</v>
      </c>
      <c r="B9" s="4" t="s">
        <v>10</v>
      </c>
      <c r="C9" s="4" t="s">
        <v>21</v>
      </c>
      <c r="D9" s="6" t="s">
        <v>231</v>
      </c>
      <c r="E9" s="13" t="s">
        <v>138</v>
      </c>
      <c r="F9" s="4" t="s">
        <v>114</v>
      </c>
      <c r="G9" s="4" t="s">
        <v>232</v>
      </c>
      <c r="H9" s="4" t="s">
        <v>233</v>
      </c>
      <c r="I9" s="5" t="s">
        <v>169</v>
      </c>
      <c r="J9" s="5" t="s">
        <v>169</v>
      </c>
      <c r="K9" s="5" t="s">
        <v>169</v>
      </c>
      <c r="L9" s="5" t="s">
        <v>169</v>
      </c>
      <c r="M9" s="5" t="s">
        <v>234</v>
      </c>
      <c r="N9" s="5" t="s">
        <v>103</v>
      </c>
      <c r="O9" s="5" t="s">
        <v>172</v>
      </c>
      <c r="P9" s="19" t="s">
        <v>235</v>
      </c>
      <c r="Q9" s="5" t="s">
        <v>236</v>
      </c>
      <c r="R9" s="5" t="s">
        <v>237</v>
      </c>
      <c r="S9" s="5" t="s">
        <v>188</v>
      </c>
      <c r="T9" s="17" t="s">
        <v>177</v>
      </c>
      <c r="U9" s="5" t="s">
        <v>238</v>
      </c>
      <c r="V9" s="5" t="s">
        <v>229</v>
      </c>
      <c r="W9" s="5" t="s">
        <v>239</v>
      </c>
      <c r="X9" s="4" t="s">
        <v>181</v>
      </c>
    </row>
    <row r="10" ht="80.25" customHeight="1" spans="1:24">
      <c r="A10" s="17">
        <v>9</v>
      </c>
      <c r="B10" s="4" t="s">
        <v>10</v>
      </c>
      <c r="C10" s="4" t="s">
        <v>34</v>
      </c>
      <c r="D10" s="3" t="s">
        <v>240</v>
      </c>
      <c r="E10" s="13" t="s">
        <v>138</v>
      </c>
      <c r="F10" s="4" t="s">
        <v>105</v>
      </c>
      <c r="G10" s="4" t="s">
        <v>241</v>
      </c>
      <c r="H10" s="4" t="s">
        <v>233</v>
      </c>
      <c r="I10" s="5" t="s">
        <v>169</v>
      </c>
      <c r="J10" s="4" t="s">
        <v>242</v>
      </c>
      <c r="K10" s="5" t="s">
        <v>169</v>
      </c>
      <c r="L10" s="5" t="s">
        <v>169</v>
      </c>
      <c r="M10" s="4" t="s">
        <v>104</v>
      </c>
      <c r="N10" s="5" t="s">
        <v>103</v>
      </c>
      <c r="O10" s="5" t="s">
        <v>172</v>
      </c>
      <c r="P10" s="19" t="s">
        <v>243</v>
      </c>
      <c r="Q10" s="4" t="s">
        <v>244</v>
      </c>
      <c r="R10" s="4" t="s">
        <v>225</v>
      </c>
      <c r="S10" s="5" t="s">
        <v>226</v>
      </c>
      <c r="T10" s="17" t="s">
        <v>227</v>
      </c>
      <c r="U10" s="5" t="s">
        <v>245</v>
      </c>
      <c r="V10" s="5" t="s">
        <v>229</v>
      </c>
      <c r="W10" s="5" t="s">
        <v>169</v>
      </c>
      <c r="X10" s="4" t="s">
        <v>230</v>
      </c>
    </row>
    <row r="11" ht="80.25" customHeight="1" spans="1:24">
      <c r="A11" s="17">
        <v>10</v>
      </c>
      <c r="B11" s="4" t="s">
        <v>10</v>
      </c>
      <c r="C11" s="4" t="s">
        <v>34</v>
      </c>
      <c r="D11" s="3" t="s">
        <v>246</v>
      </c>
      <c r="E11" s="13" t="s">
        <v>138</v>
      </c>
      <c r="F11" s="4" t="s">
        <v>105</v>
      </c>
      <c r="G11" s="4" t="s">
        <v>247</v>
      </c>
      <c r="H11" s="4" t="s">
        <v>233</v>
      </c>
      <c r="I11" s="5" t="s">
        <v>169</v>
      </c>
      <c r="J11" s="4" t="s">
        <v>242</v>
      </c>
      <c r="K11" s="5" t="s">
        <v>169</v>
      </c>
      <c r="L11" s="5" t="s">
        <v>169</v>
      </c>
      <c r="M11" s="4" t="s">
        <v>104</v>
      </c>
      <c r="N11" s="5" t="s">
        <v>103</v>
      </c>
      <c r="O11" s="5" t="s">
        <v>172</v>
      </c>
      <c r="P11" s="19" t="s">
        <v>248</v>
      </c>
      <c r="Q11" s="4" t="s">
        <v>244</v>
      </c>
      <c r="R11" s="4" t="s">
        <v>225</v>
      </c>
      <c r="S11" s="5" t="s">
        <v>226</v>
      </c>
      <c r="T11" s="17" t="s">
        <v>227</v>
      </c>
      <c r="U11" s="5" t="s">
        <v>245</v>
      </c>
      <c r="V11" s="5" t="s">
        <v>229</v>
      </c>
      <c r="W11" s="5" t="s">
        <v>169</v>
      </c>
      <c r="X11" s="4" t="s">
        <v>230</v>
      </c>
    </row>
    <row r="12" ht="66" customHeight="1" spans="1:24">
      <c r="A12" s="17">
        <v>11</v>
      </c>
      <c r="B12" s="4" t="s">
        <v>10</v>
      </c>
      <c r="C12" s="4" t="s">
        <v>34</v>
      </c>
      <c r="D12" s="3" t="s">
        <v>249</v>
      </c>
      <c r="E12" s="13" t="s">
        <v>138</v>
      </c>
      <c r="F12" s="4" t="s">
        <v>105</v>
      </c>
      <c r="G12" s="4" t="s">
        <v>250</v>
      </c>
      <c r="H12" s="4" t="s">
        <v>233</v>
      </c>
      <c r="I12" s="5" t="s">
        <v>169</v>
      </c>
      <c r="J12" s="4" t="s">
        <v>242</v>
      </c>
      <c r="K12" s="5" t="s">
        <v>169</v>
      </c>
      <c r="L12" s="5" t="s">
        <v>169</v>
      </c>
      <c r="M12" s="4" t="s">
        <v>104</v>
      </c>
      <c r="N12" s="5" t="s">
        <v>103</v>
      </c>
      <c r="O12" s="5" t="s">
        <v>172</v>
      </c>
      <c r="P12" s="19" t="s">
        <v>251</v>
      </c>
      <c r="Q12" s="4" t="s">
        <v>244</v>
      </c>
      <c r="R12" s="4" t="s">
        <v>225</v>
      </c>
      <c r="S12" s="5" t="s">
        <v>226</v>
      </c>
      <c r="T12" s="17" t="s">
        <v>227</v>
      </c>
      <c r="U12" s="5" t="s">
        <v>252</v>
      </c>
      <c r="V12" s="5" t="s">
        <v>229</v>
      </c>
      <c r="W12" s="5" t="s">
        <v>169</v>
      </c>
      <c r="X12" s="4" t="s">
        <v>230</v>
      </c>
    </row>
    <row r="13" ht="66" customHeight="1" spans="1:24">
      <c r="A13" s="17">
        <v>12</v>
      </c>
      <c r="B13" s="4" t="s">
        <v>10</v>
      </c>
      <c r="C13" s="4" t="s">
        <v>34</v>
      </c>
      <c r="D13" s="3" t="s">
        <v>253</v>
      </c>
      <c r="E13" s="13" t="s">
        <v>138</v>
      </c>
      <c r="F13" s="4" t="s">
        <v>105</v>
      </c>
      <c r="G13" s="4" t="s">
        <v>254</v>
      </c>
      <c r="H13" s="4" t="s">
        <v>233</v>
      </c>
      <c r="I13" s="5" t="s">
        <v>169</v>
      </c>
      <c r="J13" s="4" t="s">
        <v>242</v>
      </c>
      <c r="K13" s="5" t="s">
        <v>169</v>
      </c>
      <c r="L13" s="5" t="s">
        <v>169</v>
      </c>
      <c r="M13" s="4" t="s">
        <v>104</v>
      </c>
      <c r="N13" s="5" t="s">
        <v>103</v>
      </c>
      <c r="O13" s="5" t="s">
        <v>172</v>
      </c>
      <c r="P13" s="19" t="s">
        <v>255</v>
      </c>
      <c r="Q13" s="4" t="s">
        <v>244</v>
      </c>
      <c r="R13" s="4" t="s">
        <v>225</v>
      </c>
      <c r="S13" s="5" t="s">
        <v>226</v>
      </c>
      <c r="T13" s="17" t="s">
        <v>227</v>
      </c>
      <c r="U13" s="5" t="s">
        <v>252</v>
      </c>
      <c r="V13" s="5" t="s">
        <v>229</v>
      </c>
      <c r="W13" s="5" t="s">
        <v>169</v>
      </c>
      <c r="X13" s="4" t="s">
        <v>230</v>
      </c>
    </row>
    <row r="14" ht="80.25" customHeight="1" spans="1:24">
      <c r="A14" s="17">
        <v>13</v>
      </c>
      <c r="B14" s="4" t="s">
        <v>10</v>
      </c>
      <c r="C14" s="4" t="s">
        <v>34</v>
      </c>
      <c r="D14" s="3" t="s">
        <v>256</v>
      </c>
      <c r="E14" s="13" t="s">
        <v>138</v>
      </c>
      <c r="F14" s="4" t="s">
        <v>105</v>
      </c>
      <c r="G14" s="4" t="s">
        <v>257</v>
      </c>
      <c r="H14" s="4" t="s">
        <v>233</v>
      </c>
      <c r="I14" s="5" t="s">
        <v>169</v>
      </c>
      <c r="J14" s="4" t="s">
        <v>242</v>
      </c>
      <c r="K14" s="5" t="s">
        <v>169</v>
      </c>
      <c r="L14" s="5" t="s">
        <v>169</v>
      </c>
      <c r="M14" s="4" t="s">
        <v>104</v>
      </c>
      <c r="N14" s="5" t="s">
        <v>103</v>
      </c>
      <c r="O14" s="5" t="s">
        <v>172</v>
      </c>
      <c r="P14" s="19" t="s">
        <v>258</v>
      </c>
      <c r="Q14" s="4" t="s">
        <v>244</v>
      </c>
      <c r="R14" s="4" t="s">
        <v>225</v>
      </c>
      <c r="S14" s="5" t="s">
        <v>226</v>
      </c>
      <c r="T14" s="17" t="s">
        <v>227</v>
      </c>
      <c r="U14" s="5" t="s">
        <v>245</v>
      </c>
      <c r="V14" s="5" t="s">
        <v>229</v>
      </c>
      <c r="W14" s="5" t="s">
        <v>169</v>
      </c>
      <c r="X14" s="4" t="s">
        <v>230</v>
      </c>
    </row>
    <row r="15" ht="94.5" customHeight="1" spans="1:24">
      <c r="A15" s="17">
        <v>14</v>
      </c>
      <c r="B15" s="4" t="s">
        <v>10</v>
      </c>
      <c r="C15" s="4" t="s">
        <v>259</v>
      </c>
      <c r="D15" s="3" t="s">
        <v>260</v>
      </c>
      <c r="E15" s="13" t="s">
        <v>138</v>
      </c>
      <c r="F15" s="4" t="s">
        <v>100</v>
      </c>
      <c r="G15" s="4" t="s">
        <v>261</v>
      </c>
      <c r="H15" s="4" t="s">
        <v>233</v>
      </c>
      <c r="I15" s="5" t="s">
        <v>169</v>
      </c>
      <c r="J15" s="5" t="s">
        <v>169</v>
      </c>
      <c r="K15" s="5" t="s">
        <v>169</v>
      </c>
      <c r="L15" s="5" t="s">
        <v>169</v>
      </c>
      <c r="M15" s="4" t="s">
        <v>99</v>
      </c>
      <c r="N15" s="5" t="s">
        <v>103</v>
      </c>
      <c r="O15" s="5" t="s">
        <v>172</v>
      </c>
      <c r="P15" s="19" t="s">
        <v>262</v>
      </c>
      <c r="Q15" s="4" t="s">
        <v>210</v>
      </c>
      <c r="R15" s="4" t="s">
        <v>263</v>
      </c>
      <c r="S15" s="5" t="s">
        <v>264</v>
      </c>
      <c r="T15" s="17" t="s">
        <v>227</v>
      </c>
      <c r="U15" s="5" t="s">
        <v>265</v>
      </c>
      <c r="V15" s="5" t="s">
        <v>266</v>
      </c>
      <c r="W15" s="5" t="s">
        <v>169</v>
      </c>
      <c r="X15" s="4" t="s">
        <v>230</v>
      </c>
    </row>
    <row r="16" ht="94.5" customHeight="1" spans="1:24">
      <c r="A16" s="17">
        <v>15</v>
      </c>
      <c r="B16" s="4" t="s">
        <v>10</v>
      </c>
      <c r="C16" s="4" t="s">
        <v>259</v>
      </c>
      <c r="D16" s="3" t="s">
        <v>267</v>
      </c>
      <c r="E16" s="13" t="s">
        <v>138</v>
      </c>
      <c r="F16" s="4" t="s">
        <v>100</v>
      </c>
      <c r="G16" s="4" t="s">
        <v>261</v>
      </c>
      <c r="H16" s="4" t="s">
        <v>233</v>
      </c>
      <c r="I16" s="5" t="s">
        <v>169</v>
      </c>
      <c r="J16" s="5" t="s">
        <v>169</v>
      </c>
      <c r="K16" s="5" t="s">
        <v>169</v>
      </c>
      <c r="L16" s="5" t="s">
        <v>169</v>
      </c>
      <c r="M16" s="4" t="s">
        <v>99</v>
      </c>
      <c r="N16" s="5" t="s">
        <v>103</v>
      </c>
      <c r="O16" s="5" t="s">
        <v>172</v>
      </c>
      <c r="P16" s="19" t="s">
        <v>268</v>
      </c>
      <c r="Q16" s="4" t="s">
        <v>210</v>
      </c>
      <c r="R16" s="4" t="s">
        <v>263</v>
      </c>
      <c r="S16" s="5" t="s">
        <v>264</v>
      </c>
      <c r="T16" s="17" t="s">
        <v>227</v>
      </c>
      <c r="U16" s="5" t="s">
        <v>265</v>
      </c>
      <c r="V16" s="5" t="s">
        <v>266</v>
      </c>
      <c r="W16" s="5" t="s">
        <v>169</v>
      </c>
      <c r="X16" s="4" t="s">
        <v>230</v>
      </c>
    </row>
    <row r="17" ht="94.5" customHeight="1" spans="1:24">
      <c r="A17" s="17">
        <v>16</v>
      </c>
      <c r="B17" s="4" t="s">
        <v>10</v>
      </c>
      <c r="C17" s="4" t="s">
        <v>259</v>
      </c>
      <c r="D17" s="3" t="s">
        <v>269</v>
      </c>
      <c r="E17" s="13" t="s">
        <v>138</v>
      </c>
      <c r="F17" s="4" t="s">
        <v>100</v>
      </c>
      <c r="G17" s="4" t="s">
        <v>261</v>
      </c>
      <c r="H17" s="4" t="s">
        <v>233</v>
      </c>
      <c r="I17" s="5" t="s">
        <v>169</v>
      </c>
      <c r="J17" s="5" t="s">
        <v>169</v>
      </c>
      <c r="K17" s="5" t="s">
        <v>169</v>
      </c>
      <c r="L17" s="5" t="s">
        <v>169</v>
      </c>
      <c r="M17" s="4" t="s">
        <v>99</v>
      </c>
      <c r="N17" s="5" t="s">
        <v>103</v>
      </c>
      <c r="O17" s="5" t="s">
        <v>172</v>
      </c>
      <c r="P17" s="19" t="s">
        <v>270</v>
      </c>
      <c r="Q17" s="4" t="s">
        <v>210</v>
      </c>
      <c r="R17" s="4" t="s">
        <v>263</v>
      </c>
      <c r="S17" s="5" t="s">
        <v>264</v>
      </c>
      <c r="T17" s="17" t="s">
        <v>227</v>
      </c>
      <c r="U17" s="5" t="s">
        <v>265</v>
      </c>
      <c r="V17" s="5" t="s">
        <v>266</v>
      </c>
      <c r="W17" s="5" t="s">
        <v>169</v>
      </c>
      <c r="X17" s="4" t="s">
        <v>230</v>
      </c>
    </row>
    <row r="18" ht="94.5" customHeight="1" spans="1:24">
      <c r="A18" s="17">
        <v>17</v>
      </c>
      <c r="B18" s="4" t="s">
        <v>10</v>
      </c>
      <c r="C18" s="4" t="s">
        <v>259</v>
      </c>
      <c r="D18" s="3" t="s">
        <v>271</v>
      </c>
      <c r="E18" s="13" t="s">
        <v>138</v>
      </c>
      <c r="F18" s="4" t="s">
        <v>100</v>
      </c>
      <c r="G18" s="4" t="s">
        <v>261</v>
      </c>
      <c r="H18" s="4" t="s">
        <v>233</v>
      </c>
      <c r="I18" s="5" t="s">
        <v>169</v>
      </c>
      <c r="J18" s="5" t="s">
        <v>169</v>
      </c>
      <c r="K18" s="5" t="s">
        <v>169</v>
      </c>
      <c r="L18" s="5" t="s">
        <v>169</v>
      </c>
      <c r="M18" s="4" t="s">
        <v>99</v>
      </c>
      <c r="N18" s="5" t="s">
        <v>103</v>
      </c>
      <c r="O18" s="5" t="s">
        <v>172</v>
      </c>
      <c r="P18" s="19" t="s">
        <v>272</v>
      </c>
      <c r="Q18" s="4" t="s">
        <v>210</v>
      </c>
      <c r="R18" s="4" t="s">
        <v>263</v>
      </c>
      <c r="S18" s="5" t="s">
        <v>264</v>
      </c>
      <c r="T18" s="17" t="s">
        <v>227</v>
      </c>
      <c r="U18" s="5" t="s">
        <v>265</v>
      </c>
      <c r="V18" s="5" t="s">
        <v>266</v>
      </c>
      <c r="W18" s="5" t="s">
        <v>169</v>
      </c>
      <c r="X18" s="4" t="s">
        <v>230</v>
      </c>
    </row>
    <row r="19" ht="94.5" customHeight="1" spans="1:24">
      <c r="A19" s="17">
        <v>18</v>
      </c>
      <c r="B19" s="4" t="s">
        <v>10</v>
      </c>
      <c r="C19" s="4" t="s">
        <v>259</v>
      </c>
      <c r="D19" s="3" t="s">
        <v>273</v>
      </c>
      <c r="E19" s="13" t="s">
        <v>138</v>
      </c>
      <c r="F19" s="4" t="s">
        <v>100</v>
      </c>
      <c r="G19" s="4" t="s">
        <v>261</v>
      </c>
      <c r="H19" s="4" t="s">
        <v>233</v>
      </c>
      <c r="I19" s="5" t="s">
        <v>169</v>
      </c>
      <c r="J19" s="5" t="s">
        <v>169</v>
      </c>
      <c r="K19" s="5" t="s">
        <v>169</v>
      </c>
      <c r="L19" s="5" t="s">
        <v>169</v>
      </c>
      <c r="M19" s="4" t="s">
        <v>99</v>
      </c>
      <c r="N19" s="5" t="s">
        <v>103</v>
      </c>
      <c r="O19" s="5" t="s">
        <v>172</v>
      </c>
      <c r="P19" s="19" t="s">
        <v>274</v>
      </c>
      <c r="Q19" s="4" t="s">
        <v>210</v>
      </c>
      <c r="R19" s="4" t="s">
        <v>263</v>
      </c>
      <c r="S19" s="5" t="s">
        <v>264</v>
      </c>
      <c r="T19" s="17" t="s">
        <v>227</v>
      </c>
      <c r="U19" s="5" t="s">
        <v>265</v>
      </c>
      <c r="V19" s="5" t="s">
        <v>266</v>
      </c>
      <c r="W19" s="5" t="s">
        <v>169</v>
      </c>
      <c r="X19" s="4" t="s">
        <v>230</v>
      </c>
    </row>
    <row r="20" ht="94.5" customHeight="1" spans="1:24">
      <c r="A20" s="17">
        <v>19</v>
      </c>
      <c r="B20" s="4" t="s">
        <v>10</v>
      </c>
      <c r="C20" s="4" t="s">
        <v>259</v>
      </c>
      <c r="D20" s="3" t="s">
        <v>275</v>
      </c>
      <c r="E20" s="13" t="s">
        <v>138</v>
      </c>
      <c r="F20" s="4" t="s">
        <v>100</v>
      </c>
      <c r="G20" s="4" t="s">
        <v>261</v>
      </c>
      <c r="H20" s="4" t="s">
        <v>233</v>
      </c>
      <c r="I20" s="5" t="s">
        <v>169</v>
      </c>
      <c r="J20" s="5" t="s">
        <v>169</v>
      </c>
      <c r="K20" s="5" t="s">
        <v>169</v>
      </c>
      <c r="L20" s="5" t="s">
        <v>169</v>
      </c>
      <c r="M20" s="4" t="s">
        <v>99</v>
      </c>
      <c r="N20" s="5" t="s">
        <v>103</v>
      </c>
      <c r="O20" s="5" t="s">
        <v>172</v>
      </c>
      <c r="P20" s="19" t="s">
        <v>276</v>
      </c>
      <c r="Q20" s="4" t="s">
        <v>210</v>
      </c>
      <c r="R20" s="4" t="s">
        <v>263</v>
      </c>
      <c r="S20" s="5" t="s">
        <v>264</v>
      </c>
      <c r="T20" s="17" t="s">
        <v>227</v>
      </c>
      <c r="U20" s="5" t="s">
        <v>265</v>
      </c>
      <c r="V20" s="5" t="s">
        <v>266</v>
      </c>
      <c r="W20" s="5" t="s">
        <v>169</v>
      </c>
      <c r="X20" s="4" t="s">
        <v>230</v>
      </c>
    </row>
    <row r="21" ht="51" hidden="1" customHeight="1" spans="1:24">
      <c r="A21" s="17">
        <v>20</v>
      </c>
      <c r="B21" s="4" t="s">
        <v>35</v>
      </c>
      <c r="C21" s="4" t="s">
        <v>15</v>
      </c>
      <c r="D21" s="3" t="s">
        <v>36</v>
      </c>
      <c r="E21" s="10" t="s">
        <v>137</v>
      </c>
      <c r="F21" s="4" t="s">
        <v>37</v>
      </c>
      <c r="G21" s="4" t="s">
        <v>277</v>
      </c>
      <c r="H21" s="4" t="s">
        <v>38</v>
      </c>
      <c r="I21" s="4" t="s">
        <v>14</v>
      </c>
      <c r="J21" s="5" t="s">
        <v>169</v>
      </c>
      <c r="K21" s="5" t="s">
        <v>278</v>
      </c>
      <c r="L21" s="4" t="s">
        <v>279</v>
      </c>
      <c r="M21" s="5" t="s">
        <v>169</v>
      </c>
      <c r="N21" s="5" t="s">
        <v>169</v>
      </c>
      <c r="O21" s="4" t="s">
        <v>280</v>
      </c>
      <c r="P21" s="19" t="s">
        <v>281</v>
      </c>
      <c r="Q21" s="4" t="s">
        <v>282</v>
      </c>
      <c r="R21" s="4" t="s">
        <v>283</v>
      </c>
      <c r="S21" s="4" t="s">
        <v>284</v>
      </c>
      <c r="T21" s="17" t="s">
        <v>227</v>
      </c>
      <c r="U21" s="5" t="s">
        <v>285</v>
      </c>
      <c r="V21" s="5" t="s">
        <v>286</v>
      </c>
      <c r="W21" s="5" t="s">
        <v>169</v>
      </c>
      <c r="X21" s="4" t="s">
        <v>181</v>
      </c>
    </row>
    <row r="22" ht="51" hidden="1" customHeight="1" spans="1:24">
      <c r="A22" s="17">
        <v>21</v>
      </c>
      <c r="B22" s="4" t="s">
        <v>35</v>
      </c>
      <c r="C22" s="4" t="s">
        <v>15</v>
      </c>
      <c r="D22" s="3" t="s">
        <v>39</v>
      </c>
      <c r="E22" s="10" t="s">
        <v>137</v>
      </c>
      <c r="F22" s="4" t="s">
        <v>40</v>
      </c>
      <c r="G22" s="4" t="s">
        <v>287</v>
      </c>
      <c r="H22" s="4" t="s">
        <v>41</v>
      </c>
      <c r="I22" s="4" t="s">
        <v>18</v>
      </c>
      <c r="J22" s="5" t="s">
        <v>288</v>
      </c>
      <c r="K22" s="5" t="s">
        <v>169</v>
      </c>
      <c r="L22" s="4" t="s">
        <v>289</v>
      </c>
      <c r="M22" s="5" t="s">
        <v>169</v>
      </c>
      <c r="N22" s="5" t="s">
        <v>169</v>
      </c>
      <c r="O22" s="4" t="s">
        <v>280</v>
      </c>
      <c r="P22" s="19" t="s">
        <v>290</v>
      </c>
      <c r="Q22" s="4" t="s">
        <v>291</v>
      </c>
      <c r="R22" s="5" t="s">
        <v>292</v>
      </c>
      <c r="S22" s="4" t="s">
        <v>284</v>
      </c>
      <c r="T22" s="17" t="s">
        <v>227</v>
      </c>
      <c r="U22" s="5" t="s">
        <v>293</v>
      </c>
      <c r="V22" s="5" t="s">
        <v>294</v>
      </c>
      <c r="W22" s="5" t="s">
        <v>169</v>
      </c>
      <c r="X22" s="4" t="s">
        <v>181</v>
      </c>
    </row>
    <row r="23" ht="51" hidden="1" customHeight="1" spans="1:24">
      <c r="A23" s="17">
        <v>22</v>
      </c>
      <c r="B23" s="4" t="s">
        <v>35</v>
      </c>
      <c r="C23" s="4" t="s">
        <v>15</v>
      </c>
      <c r="D23" s="3" t="s">
        <v>42</v>
      </c>
      <c r="E23" s="10" t="s">
        <v>137</v>
      </c>
      <c r="F23" s="4" t="s">
        <v>43</v>
      </c>
      <c r="G23" s="4" t="s">
        <v>295</v>
      </c>
      <c r="H23" s="4" t="s">
        <v>41</v>
      </c>
      <c r="I23" s="4" t="s">
        <v>27</v>
      </c>
      <c r="J23" s="5" t="s">
        <v>169</v>
      </c>
      <c r="K23" s="5" t="s">
        <v>169</v>
      </c>
      <c r="L23" s="4" t="s">
        <v>296</v>
      </c>
      <c r="M23" s="5" t="s">
        <v>169</v>
      </c>
      <c r="N23" s="5" t="s">
        <v>169</v>
      </c>
      <c r="O23" s="4" t="s">
        <v>297</v>
      </c>
      <c r="P23" s="19" t="s">
        <v>298</v>
      </c>
      <c r="Q23" s="4" t="s">
        <v>299</v>
      </c>
      <c r="R23" s="4" t="s">
        <v>300</v>
      </c>
      <c r="S23" s="4" t="s">
        <v>301</v>
      </c>
      <c r="T23" s="17" t="s">
        <v>227</v>
      </c>
      <c r="U23" s="5" t="s">
        <v>302</v>
      </c>
      <c r="V23" s="4" t="s">
        <v>303</v>
      </c>
      <c r="W23" s="5" t="s">
        <v>169</v>
      </c>
      <c r="X23" s="4" t="s">
        <v>181</v>
      </c>
    </row>
    <row r="24" ht="66" customHeight="1" spans="1:24">
      <c r="A24" s="17">
        <v>23</v>
      </c>
      <c r="B24" s="4" t="s">
        <v>35</v>
      </c>
      <c r="C24" s="4" t="s">
        <v>34</v>
      </c>
      <c r="D24" s="3" t="s">
        <v>304</v>
      </c>
      <c r="E24" s="13" t="s">
        <v>138</v>
      </c>
      <c r="F24" s="4" t="s">
        <v>105</v>
      </c>
      <c r="G24" s="4" t="s">
        <v>305</v>
      </c>
      <c r="H24" s="4" t="s">
        <v>233</v>
      </c>
      <c r="I24" s="5" t="s">
        <v>169</v>
      </c>
      <c r="J24" s="4" t="s">
        <v>242</v>
      </c>
      <c r="K24" s="5" t="s">
        <v>169</v>
      </c>
      <c r="L24" s="5" t="s">
        <v>169</v>
      </c>
      <c r="M24" s="4" t="s">
        <v>104</v>
      </c>
      <c r="N24" s="5" t="s">
        <v>103</v>
      </c>
      <c r="O24" s="4" t="s">
        <v>280</v>
      </c>
      <c r="P24" s="19" t="s">
        <v>306</v>
      </c>
      <c r="Q24" s="4" t="s">
        <v>244</v>
      </c>
      <c r="R24" s="4" t="s">
        <v>307</v>
      </c>
      <c r="S24" s="4" t="s">
        <v>308</v>
      </c>
      <c r="T24" s="17" t="s">
        <v>227</v>
      </c>
      <c r="U24" s="5" t="s">
        <v>309</v>
      </c>
      <c r="V24" s="5" t="s">
        <v>294</v>
      </c>
      <c r="W24" s="5" t="s">
        <v>169</v>
      </c>
      <c r="X24" s="4" t="s">
        <v>230</v>
      </c>
    </row>
    <row r="25" ht="66" customHeight="1" spans="1:24">
      <c r="A25" s="17">
        <v>24</v>
      </c>
      <c r="B25" s="4" t="s">
        <v>35</v>
      </c>
      <c r="C25" s="4" t="s">
        <v>34</v>
      </c>
      <c r="D25" s="3" t="s">
        <v>310</v>
      </c>
      <c r="E25" s="13" t="s">
        <v>138</v>
      </c>
      <c r="F25" s="4" t="s">
        <v>105</v>
      </c>
      <c r="G25" s="4" t="s">
        <v>311</v>
      </c>
      <c r="H25" s="4" t="s">
        <v>233</v>
      </c>
      <c r="I25" s="5" t="s">
        <v>169</v>
      </c>
      <c r="J25" s="4" t="s">
        <v>242</v>
      </c>
      <c r="K25" s="5" t="s">
        <v>169</v>
      </c>
      <c r="L25" s="5" t="s">
        <v>169</v>
      </c>
      <c r="M25" s="4" t="s">
        <v>104</v>
      </c>
      <c r="N25" s="5" t="s">
        <v>103</v>
      </c>
      <c r="O25" s="4" t="s">
        <v>280</v>
      </c>
      <c r="P25" s="19" t="s">
        <v>312</v>
      </c>
      <c r="Q25" s="4" t="s">
        <v>244</v>
      </c>
      <c r="R25" s="4" t="s">
        <v>307</v>
      </c>
      <c r="S25" s="4" t="s">
        <v>308</v>
      </c>
      <c r="T25" s="17" t="s">
        <v>227</v>
      </c>
      <c r="U25" s="5" t="s">
        <v>309</v>
      </c>
      <c r="V25" s="5" t="s">
        <v>294</v>
      </c>
      <c r="W25" s="5" t="s">
        <v>169</v>
      </c>
      <c r="X25" s="4" t="s">
        <v>230</v>
      </c>
    </row>
    <row r="26" ht="66" customHeight="1" spans="1:24">
      <c r="A26" s="17">
        <v>25</v>
      </c>
      <c r="B26" s="4" t="s">
        <v>35</v>
      </c>
      <c r="C26" s="4" t="s">
        <v>34</v>
      </c>
      <c r="D26" s="3" t="s">
        <v>313</v>
      </c>
      <c r="E26" s="13" t="s">
        <v>138</v>
      </c>
      <c r="F26" s="4" t="s">
        <v>105</v>
      </c>
      <c r="G26" s="4" t="s">
        <v>314</v>
      </c>
      <c r="H26" s="4" t="s">
        <v>233</v>
      </c>
      <c r="I26" s="5" t="s">
        <v>169</v>
      </c>
      <c r="J26" s="4" t="s">
        <v>242</v>
      </c>
      <c r="K26" s="5" t="s">
        <v>169</v>
      </c>
      <c r="L26" s="5" t="s">
        <v>169</v>
      </c>
      <c r="M26" s="4" t="s">
        <v>104</v>
      </c>
      <c r="N26" s="5" t="s">
        <v>103</v>
      </c>
      <c r="O26" s="4" t="s">
        <v>280</v>
      </c>
      <c r="P26" s="19" t="s">
        <v>315</v>
      </c>
      <c r="Q26" s="4" t="s">
        <v>244</v>
      </c>
      <c r="R26" s="4" t="s">
        <v>307</v>
      </c>
      <c r="S26" s="4" t="s">
        <v>308</v>
      </c>
      <c r="T26" s="17" t="s">
        <v>227</v>
      </c>
      <c r="U26" s="5" t="s">
        <v>316</v>
      </c>
      <c r="V26" s="5" t="s">
        <v>294</v>
      </c>
      <c r="W26" s="5" t="s">
        <v>169</v>
      </c>
      <c r="X26" s="4" t="s">
        <v>230</v>
      </c>
    </row>
    <row r="27" ht="66" customHeight="1" spans="1:24">
      <c r="A27" s="17">
        <v>26</v>
      </c>
      <c r="B27" s="4" t="s">
        <v>35</v>
      </c>
      <c r="C27" s="4" t="s">
        <v>34</v>
      </c>
      <c r="D27" s="3" t="s">
        <v>317</v>
      </c>
      <c r="E27" s="13" t="s">
        <v>138</v>
      </c>
      <c r="F27" s="4" t="s">
        <v>105</v>
      </c>
      <c r="G27" s="4" t="s">
        <v>318</v>
      </c>
      <c r="H27" s="4" t="s">
        <v>233</v>
      </c>
      <c r="I27" s="5" t="s">
        <v>169</v>
      </c>
      <c r="J27" s="4" t="s">
        <v>242</v>
      </c>
      <c r="K27" s="5" t="s">
        <v>169</v>
      </c>
      <c r="L27" s="5" t="s">
        <v>169</v>
      </c>
      <c r="M27" s="4" t="s">
        <v>104</v>
      </c>
      <c r="N27" s="5" t="s">
        <v>103</v>
      </c>
      <c r="O27" s="4" t="s">
        <v>280</v>
      </c>
      <c r="P27" s="19" t="s">
        <v>319</v>
      </c>
      <c r="Q27" s="4" t="s">
        <v>244</v>
      </c>
      <c r="R27" s="4" t="s">
        <v>307</v>
      </c>
      <c r="S27" s="4" t="s">
        <v>308</v>
      </c>
      <c r="T27" s="17" t="s">
        <v>227</v>
      </c>
      <c r="U27" s="5" t="s">
        <v>316</v>
      </c>
      <c r="V27" s="5" t="s">
        <v>294</v>
      </c>
      <c r="W27" s="5" t="s">
        <v>169</v>
      </c>
      <c r="X27" s="4" t="s">
        <v>230</v>
      </c>
    </row>
    <row r="28" ht="66" customHeight="1" spans="1:24">
      <c r="A28" s="17">
        <v>27</v>
      </c>
      <c r="B28" s="4" t="s">
        <v>35</v>
      </c>
      <c r="C28" s="4" t="s">
        <v>34</v>
      </c>
      <c r="D28" s="3" t="s">
        <v>320</v>
      </c>
      <c r="E28" s="13" t="s">
        <v>138</v>
      </c>
      <c r="F28" s="4" t="s">
        <v>105</v>
      </c>
      <c r="G28" s="4" t="s">
        <v>321</v>
      </c>
      <c r="H28" s="4" t="s">
        <v>233</v>
      </c>
      <c r="I28" s="5" t="s">
        <v>169</v>
      </c>
      <c r="J28" s="4" t="s">
        <v>242</v>
      </c>
      <c r="K28" s="5" t="s">
        <v>169</v>
      </c>
      <c r="L28" s="5" t="s">
        <v>169</v>
      </c>
      <c r="M28" s="4" t="s">
        <v>104</v>
      </c>
      <c r="N28" s="5" t="s">
        <v>103</v>
      </c>
      <c r="O28" s="4" t="s">
        <v>280</v>
      </c>
      <c r="P28" s="19" t="s">
        <v>322</v>
      </c>
      <c r="Q28" s="4" t="s">
        <v>244</v>
      </c>
      <c r="R28" s="4" t="s">
        <v>307</v>
      </c>
      <c r="S28" s="4" t="s">
        <v>308</v>
      </c>
      <c r="T28" s="17" t="s">
        <v>227</v>
      </c>
      <c r="U28" s="5" t="s">
        <v>309</v>
      </c>
      <c r="V28" s="5" t="s">
        <v>294</v>
      </c>
      <c r="W28" s="5" t="s">
        <v>169</v>
      </c>
      <c r="X28" s="4" t="s">
        <v>230</v>
      </c>
    </row>
    <row r="29" ht="80.25" customHeight="1" spans="1:24">
      <c r="A29" s="17">
        <v>28</v>
      </c>
      <c r="B29" s="4" t="s">
        <v>35</v>
      </c>
      <c r="C29" s="4" t="s">
        <v>259</v>
      </c>
      <c r="D29" s="3" t="s">
        <v>323</v>
      </c>
      <c r="E29" s="13" t="s">
        <v>138</v>
      </c>
      <c r="F29" s="4" t="s">
        <v>100</v>
      </c>
      <c r="G29" s="4" t="s">
        <v>324</v>
      </c>
      <c r="H29" s="4" t="s">
        <v>233</v>
      </c>
      <c r="I29" s="5" t="s">
        <v>169</v>
      </c>
      <c r="J29" s="5" t="s">
        <v>169</v>
      </c>
      <c r="K29" s="5" t="s">
        <v>169</v>
      </c>
      <c r="L29" s="5" t="s">
        <v>169</v>
      </c>
      <c r="M29" s="4" t="s">
        <v>99</v>
      </c>
      <c r="N29" s="5" t="s">
        <v>103</v>
      </c>
      <c r="O29" s="4" t="s">
        <v>280</v>
      </c>
      <c r="P29" s="19" t="s">
        <v>325</v>
      </c>
      <c r="Q29" s="4" t="s">
        <v>210</v>
      </c>
      <c r="R29" s="5" t="s">
        <v>326</v>
      </c>
      <c r="S29" s="4" t="s">
        <v>327</v>
      </c>
      <c r="T29" s="17" t="s">
        <v>227</v>
      </c>
      <c r="U29" s="5" t="s">
        <v>328</v>
      </c>
      <c r="V29" s="5" t="s">
        <v>329</v>
      </c>
      <c r="W29" s="5" t="s">
        <v>169</v>
      </c>
      <c r="X29" s="4" t="s">
        <v>230</v>
      </c>
    </row>
    <row r="30" ht="80.25" customHeight="1" spans="1:24">
      <c r="A30" s="17">
        <v>29</v>
      </c>
      <c r="B30" s="4" t="s">
        <v>35</v>
      </c>
      <c r="C30" s="4" t="s">
        <v>259</v>
      </c>
      <c r="D30" s="3" t="s">
        <v>330</v>
      </c>
      <c r="E30" s="13" t="s">
        <v>138</v>
      </c>
      <c r="F30" s="4" t="s">
        <v>100</v>
      </c>
      <c r="G30" s="4" t="s">
        <v>324</v>
      </c>
      <c r="H30" s="4" t="s">
        <v>233</v>
      </c>
      <c r="I30" s="5" t="s">
        <v>169</v>
      </c>
      <c r="J30" s="5" t="s">
        <v>169</v>
      </c>
      <c r="K30" s="5" t="s">
        <v>169</v>
      </c>
      <c r="L30" s="5" t="s">
        <v>169</v>
      </c>
      <c r="M30" s="4" t="s">
        <v>99</v>
      </c>
      <c r="N30" s="5" t="s">
        <v>103</v>
      </c>
      <c r="O30" s="4" t="s">
        <v>280</v>
      </c>
      <c r="P30" s="19" t="s">
        <v>331</v>
      </c>
      <c r="Q30" s="4" t="s">
        <v>210</v>
      </c>
      <c r="R30" s="5" t="s">
        <v>326</v>
      </c>
      <c r="S30" s="4" t="s">
        <v>327</v>
      </c>
      <c r="T30" s="17" t="s">
        <v>227</v>
      </c>
      <c r="U30" s="5" t="s">
        <v>328</v>
      </c>
      <c r="V30" s="5" t="s">
        <v>329</v>
      </c>
      <c r="W30" s="5" t="s">
        <v>169</v>
      </c>
      <c r="X30" s="4" t="s">
        <v>230</v>
      </c>
    </row>
    <row r="31" ht="80.25" customHeight="1" spans="1:24">
      <c r="A31" s="17">
        <v>30</v>
      </c>
      <c r="B31" s="4" t="s">
        <v>35</v>
      </c>
      <c r="C31" s="4" t="s">
        <v>259</v>
      </c>
      <c r="D31" s="3" t="s">
        <v>332</v>
      </c>
      <c r="E31" s="13" t="s">
        <v>138</v>
      </c>
      <c r="F31" s="4" t="s">
        <v>100</v>
      </c>
      <c r="G31" s="4" t="s">
        <v>324</v>
      </c>
      <c r="H31" s="4" t="s">
        <v>233</v>
      </c>
      <c r="I31" s="5" t="s">
        <v>169</v>
      </c>
      <c r="J31" s="5" t="s">
        <v>169</v>
      </c>
      <c r="K31" s="5" t="s">
        <v>169</v>
      </c>
      <c r="L31" s="5" t="s">
        <v>169</v>
      </c>
      <c r="M31" s="4" t="s">
        <v>99</v>
      </c>
      <c r="N31" s="5" t="s">
        <v>103</v>
      </c>
      <c r="O31" s="4" t="s">
        <v>280</v>
      </c>
      <c r="P31" s="19" t="s">
        <v>333</v>
      </c>
      <c r="Q31" s="4" t="s">
        <v>210</v>
      </c>
      <c r="R31" s="5" t="s">
        <v>326</v>
      </c>
      <c r="S31" s="4" t="s">
        <v>327</v>
      </c>
      <c r="T31" s="17" t="s">
        <v>227</v>
      </c>
      <c r="U31" s="5" t="s">
        <v>328</v>
      </c>
      <c r="V31" s="5" t="s">
        <v>329</v>
      </c>
      <c r="W31" s="5" t="s">
        <v>169</v>
      </c>
      <c r="X31" s="4" t="s">
        <v>230</v>
      </c>
    </row>
    <row r="32" ht="80.25" customHeight="1" spans="1:24">
      <c r="A32" s="17">
        <v>31</v>
      </c>
      <c r="B32" s="4" t="s">
        <v>35</v>
      </c>
      <c r="C32" s="4" t="s">
        <v>259</v>
      </c>
      <c r="D32" s="3" t="s">
        <v>334</v>
      </c>
      <c r="E32" s="13" t="s">
        <v>138</v>
      </c>
      <c r="F32" s="4" t="s">
        <v>100</v>
      </c>
      <c r="G32" s="4" t="s">
        <v>324</v>
      </c>
      <c r="H32" s="4" t="s">
        <v>233</v>
      </c>
      <c r="I32" s="5" t="s">
        <v>169</v>
      </c>
      <c r="J32" s="5" t="s">
        <v>169</v>
      </c>
      <c r="K32" s="5" t="s">
        <v>169</v>
      </c>
      <c r="L32" s="5" t="s">
        <v>169</v>
      </c>
      <c r="M32" s="4" t="s">
        <v>99</v>
      </c>
      <c r="N32" s="5" t="s">
        <v>103</v>
      </c>
      <c r="O32" s="4" t="s">
        <v>280</v>
      </c>
      <c r="P32" s="19" t="s">
        <v>335</v>
      </c>
      <c r="Q32" s="4" t="s">
        <v>210</v>
      </c>
      <c r="R32" s="5" t="s">
        <v>326</v>
      </c>
      <c r="S32" s="4" t="s">
        <v>327</v>
      </c>
      <c r="T32" s="17" t="s">
        <v>227</v>
      </c>
      <c r="U32" s="5" t="s">
        <v>328</v>
      </c>
      <c r="V32" s="5" t="s">
        <v>329</v>
      </c>
      <c r="W32" s="5" t="s">
        <v>169</v>
      </c>
      <c r="X32" s="4" t="s">
        <v>230</v>
      </c>
    </row>
    <row r="33" ht="80.25" customHeight="1" spans="1:24">
      <c r="A33" s="17">
        <v>32</v>
      </c>
      <c r="B33" s="4" t="s">
        <v>35</v>
      </c>
      <c r="C33" s="4" t="s">
        <v>259</v>
      </c>
      <c r="D33" s="3" t="s">
        <v>336</v>
      </c>
      <c r="E33" s="13" t="s">
        <v>138</v>
      </c>
      <c r="F33" s="4" t="s">
        <v>100</v>
      </c>
      <c r="G33" s="4" t="s">
        <v>324</v>
      </c>
      <c r="H33" s="4" t="s">
        <v>233</v>
      </c>
      <c r="I33" s="5" t="s">
        <v>169</v>
      </c>
      <c r="J33" s="5" t="s">
        <v>169</v>
      </c>
      <c r="K33" s="5" t="s">
        <v>169</v>
      </c>
      <c r="L33" s="5" t="s">
        <v>169</v>
      </c>
      <c r="M33" s="4" t="s">
        <v>99</v>
      </c>
      <c r="N33" s="5" t="s">
        <v>103</v>
      </c>
      <c r="O33" s="4" t="s">
        <v>280</v>
      </c>
      <c r="P33" s="19" t="s">
        <v>337</v>
      </c>
      <c r="Q33" s="4" t="s">
        <v>210</v>
      </c>
      <c r="R33" s="5" t="s">
        <v>326</v>
      </c>
      <c r="S33" s="4" t="s">
        <v>327</v>
      </c>
      <c r="T33" s="17" t="s">
        <v>227</v>
      </c>
      <c r="U33" s="5" t="s">
        <v>328</v>
      </c>
      <c r="V33" s="5" t="s">
        <v>329</v>
      </c>
      <c r="W33" s="5" t="s">
        <v>169</v>
      </c>
      <c r="X33" s="4" t="s">
        <v>230</v>
      </c>
    </row>
    <row r="34" ht="80.25" customHeight="1" spans="1:24">
      <c r="A34" s="17">
        <v>33</v>
      </c>
      <c r="B34" s="4" t="s">
        <v>35</v>
      </c>
      <c r="C34" s="4" t="s">
        <v>259</v>
      </c>
      <c r="D34" s="3" t="s">
        <v>338</v>
      </c>
      <c r="E34" s="13" t="s">
        <v>138</v>
      </c>
      <c r="F34" s="4" t="s">
        <v>100</v>
      </c>
      <c r="G34" s="4" t="s">
        <v>324</v>
      </c>
      <c r="H34" s="4" t="s">
        <v>233</v>
      </c>
      <c r="I34" s="5" t="s">
        <v>169</v>
      </c>
      <c r="J34" s="5" t="s">
        <v>169</v>
      </c>
      <c r="K34" s="5" t="s">
        <v>169</v>
      </c>
      <c r="L34" s="5" t="s">
        <v>169</v>
      </c>
      <c r="M34" s="4" t="s">
        <v>99</v>
      </c>
      <c r="N34" s="5" t="s">
        <v>103</v>
      </c>
      <c r="O34" s="4" t="s">
        <v>280</v>
      </c>
      <c r="P34" s="19" t="s">
        <v>339</v>
      </c>
      <c r="Q34" s="4" t="s">
        <v>210</v>
      </c>
      <c r="R34" s="5" t="s">
        <v>326</v>
      </c>
      <c r="S34" s="4" t="s">
        <v>327</v>
      </c>
      <c r="T34" s="17" t="s">
        <v>227</v>
      </c>
      <c r="U34" s="5" t="s">
        <v>328</v>
      </c>
      <c r="V34" s="5" t="s">
        <v>329</v>
      </c>
      <c r="W34" s="5" t="s">
        <v>169</v>
      </c>
      <c r="X34" s="4" t="s">
        <v>230</v>
      </c>
    </row>
    <row r="35" ht="138" customHeight="1" spans="1:24">
      <c r="A35" s="17">
        <v>34</v>
      </c>
      <c r="B35" s="4" t="s">
        <v>35</v>
      </c>
      <c r="C35" s="4" t="s">
        <v>34</v>
      </c>
      <c r="D35" s="3" t="s">
        <v>340</v>
      </c>
      <c r="E35" s="13" t="s">
        <v>138</v>
      </c>
      <c r="F35" s="4" t="s">
        <v>123</v>
      </c>
      <c r="G35" s="4" t="s">
        <v>124</v>
      </c>
      <c r="H35" s="4" t="s">
        <v>233</v>
      </c>
      <c r="I35" s="5" t="s">
        <v>169</v>
      </c>
      <c r="J35" s="4" t="s">
        <v>242</v>
      </c>
      <c r="K35" s="5" t="s">
        <v>169</v>
      </c>
      <c r="L35" s="5" t="s">
        <v>169</v>
      </c>
      <c r="M35" s="4" t="s">
        <v>122</v>
      </c>
      <c r="N35" s="4" t="s">
        <v>126</v>
      </c>
      <c r="O35" s="4" t="s">
        <v>280</v>
      </c>
      <c r="P35" s="19" t="s">
        <v>341</v>
      </c>
      <c r="Q35" s="4" t="s">
        <v>224</v>
      </c>
      <c r="R35" s="4" t="s">
        <v>307</v>
      </c>
      <c r="S35" s="4" t="s">
        <v>308</v>
      </c>
      <c r="T35" s="17" t="s">
        <v>227</v>
      </c>
      <c r="U35" s="5" t="s">
        <v>342</v>
      </c>
      <c r="V35" s="5" t="s">
        <v>294</v>
      </c>
      <c r="W35" s="5" t="s">
        <v>169</v>
      </c>
      <c r="X35" s="4" t="s">
        <v>230</v>
      </c>
    </row>
    <row r="36" ht="80.25" hidden="1" customHeight="1" spans="1:24">
      <c r="A36" s="17">
        <v>35</v>
      </c>
      <c r="B36" s="4" t="s">
        <v>44</v>
      </c>
      <c r="C36" s="4" t="s">
        <v>15</v>
      </c>
      <c r="D36" s="3" t="s">
        <v>45</v>
      </c>
      <c r="E36" s="10" t="s">
        <v>137</v>
      </c>
      <c r="F36" s="4" t="s">
        <v>46</v>
      </c>
      <c r="G36" s="4" t="s">
        <v>343</v>
      </c>
      <c r="H36" s="4" t="s">
        <v>47</v>
      </c>
      <c r="I36" s="4" t="s">
        <v>14</v>
      </c>
      <c r="J36" s="5" t="s">
        <v>169</v>
      </c>
      <c r="K36" s="5" t="s">
        <v>344</v>
      </c>
      <c r="L36" s="4" t="s">
        <v>345</v>
      </c>
      <c r="M36" s="5" t="s">
        <v>169</v>
      </c>
      <c r="N36" s="5" t="s">
        <v>169</v>
      </c>
      <c r="O36" s="4" t="s">
        <v>148</v>
      </c>
      <c r="P36" s="19" t="s">
        <v>346</v>
      </c>
      <c r="Q36" s="4" t="s">
        <v>210</v>
      </c>
      <c r="R36" s="4" t="s">
        <v>347</v>
      </c>
      <c r="S36" s="4" t="s">
        <v>348</v>
      </c>
      <c r="T36" s="17" t="s">
        <v>177</v>
      </c>
      <c r="U36" s="5" t="s">
        <v>349</v>
      </c>
      <c r="V36" s="5" t="s">
        <v>286</v>
      </c>
      <c r="W36" s="5" t="s">
        <v>350</v>
      </c>
      <c r="X36" s="4" t="s">
        <v>181</v>
      </c>
    </row>
    <row r="37" ht="80.25" hidden="1" customHeight="1" spans="1:24">
      <c r="A37" s="17">
        <v>36</v>
      </c>
      <c r="B37" s="4" t="s">
        <v>44</v>
      </c>
      <c r="C37" s="4" t="s">
        <v>51</v>
      </c>
      <c r="D37" s="3" t="s">
        <v>48</v>
      </c>
      <c r="E37" s="10" t="s">
        <v>137</v>
      </c>
      <c r="F37" s="4" t="s">
        <v>49</v>
      </c>
      <c r="G37" s="4" t="s">
        <v>351</v>
      </c>
      <c r="H37" s="4" t="s">
        <v>38</v>
      </c>
      <c r="I37" s="4" t="s">
        <v>50</v>
      </c>
      <c r="J37" s="5" t="s">
        <v>352</v>
      </c>
      <c r="K37" s="5" t="s">
        <v>353</v>
      </c>
      <c r="L37" s="4" t="s">
        <v>354</v>
      </c>
      <c r="M37" s="5" t="s">
        <v>169</v>
      </c>
      <c r="N37" s="5" t="s">
        <v>169</v>
      </c>
      <c r="O37" s="4" t="s">
        <v>148</v>
      </c>
      <c r="P37" s="19" t="s">
        <v>355</v>
      </c>
      <c r="Q37" s="4" t="s">
        <v>356</v>
      </c>
      <c r="R37" s="4" t="s">
        <v>357</v>
      </c>
      <c r="S37" s="4" t="s">
        <v>358</v>
      </c>
      <c r="T37" s="17" t="s">
        <v>177</v>
      </c>
      <c r="U37" s="5" t="s">
        <v>359</v>
      </c>
      <c r="V37" s="5" t="s">
        <v>360</v>
      </c>
      <c r="W37" s="5" t="s">
        <v>361</v>
      </c>
      <c r="X37" s="4" t="s">
        <v>181</v>
      </c>
    </row>
    <row r="38" ht="51" hidden="1" customHeight="1" spans="1:24">
      <c r="A38" s="17">
        <v>37</v>
      </c>
      <c r="B38" s="4" t="s">
        <v>44</v>
      </c>
      <c r="C38" s="4" t="s">
        <v>51</v>
      </c>
      <c r="D38" s="3" t="s">
        <v>52</v>
      </c>
      <c r="E38" s="10" t="s">
        <v>137</v>
      </c>
      <c r="F38" s="4" t="s">
        <v>53</v>
      </c>
      <c r="G38" s="4" t="s">
        <v>362</v>
      </c>
      <c r="H38" s="4" t="s">
        <v>38</v>
      </c>
      <c r="I38" s="4" t="s">
        <v>50</v>
      </c>
      <c r="J38" s="5" t="s">
        <v>363</v>
      </c>
      <c r="K38" s="5" t="s">
        <v>364</v>
      </c>
      <c r="L38" s="4" t="s">
        <v>365</v>
      </c>
      <c r="M38" s="5" t="s">
        <v>169</v>
      </c>
      <c r="N38" s="5" t="s">
        <v>169</v>
      </c>
      <c r="O38" s="4" t="s">
        <v>148</v>
      </c>
      <c r="P38" s="19" t="s">
        <v>366</v>
      </c>
      <c r="Q38" s="4" t="s">
        <v>367</v>
      </c>
      <c r="R38" s="4" t="s">
        <v>368</v>
      </c>
      <c r="S38" s="4" t="s">
        <v>284</v>
      </c>
      <c r="T38" s="17" t="s">
        <v>227</v>
      </c>
      <c r="U38" s="5" t="s">
        <v>369</v>
      </c>
      <c r="V38" s="5" t="s">
        <v>294</v>
      </c>
      <c r="W38" s="5" t="s">
        <v>169</v>
      </c>
      <c r="X38" s="4" t="s">
        <v>181</v>
      </c>
    </row>
    <row r="39" ht="66" hidden="1" customHeight="1" spans="1:24">
      <c r="A39" s="17">
        <v>38</v>
      </c>
      <c r="B39" s="4" t="s">
        <v>44</v>
      </c>
      <c r="C39" s="4" t="s">
        <v>57</v>
      </c>
      <c r="D39" s="6" t="s">
        <v>54</v>
      </c>
      <c r="E39" s="10" t="s">
        <v>137</v>
      </c>
      <c r="F39" s="5" t="s">
        <v>55</v>
      </c>
      <c r="G39" s="4" t="s">
        <v>370</v>
      </c>
      <c r="H39" s="4" t="s">
        <v>56</v>
      </c>
      <c r="I39" s="4" t="s">
        <v>50</v>
      </c>
      <c r="J39" s="5" t="s">
        <v>371</v>
      </c>
      <c r="K39" s="5" t="s">
        <v>372</v>
      </c>
      <c r="L39" s="5" t="s">
        <v>169</v>
      </c>
      <c r="M39" s="5" t="s">
        <v>169</v>
      </c>
      <c r="N39" s="5" t="s">
        <v>169</v>
      </c>
      <c r="O39" s="4" t="s">
        <v>148</v>
      </c>
      <c r="P39" s="19" t="s">
        <v>373</v>
      </c>
      <c r="Q39" s="4" t="s">
        <v>374</v>
      </c>
      <c r="R39" s="5" t="s">
        <v>375</v>
      </c>
      <c r="S39" s="4" t="s">
        <v>376</v>
      </c>
      <c r="T39" s="17" t="s">
        <v>177</v>
      </c>
      <c r="U39" s="5" t="s">
        <v>377</v>
      </c>
      <c r="V39" s="5" t="s">
        <v>378</v>
      </c>
      <c r="W39" s="5" t="s">
        <v>379</v>
      </c>
      <c r="X39" s="4" t="s">
        <v>181</v>
      </c>
    </row>
    <row r="40" ht="51" hidden="1" customHeight="1" spans="1:24">
      <c r="A40" s="17">
        <v>39</v>
      </c>
      <c r="B40" s="4" t="s">
        <v>44</v>
      </c>
      <c r="C40" s="4" t="s">
        <v>60</v>
      </c>
      <c r="D40" s="3" t="s">
        <v>58</v>
      </c>
      <c r="E40" s="10" t="s">
        <v>137</v>
      </c>
      <c r="F40" s="4" t="s">
        <v>59</v>
      </c>
      <c r="G40" s="4" t="s">
        <v>380</v>
      </c>
      <c r="H40" s="4" t="s">
        <v>13</v>
      </c>
      <c r="I40" s="4" t="s">
        <v>27</v>
      </c>
      <c r="J40" s="5" t="s">
        <v>169</v>
      </c>
      <c r="K40" s="5" t="s">
        <v>169</v>
      </c>
      <c r="L40" s="4" t="s">
        <v>381</v>
      </c>
      <c r="M40" s="5" t="s">
        <v>169</v>
      </c>
      <c r="N40" s="5" t="s">
        <v>169</v>
      </c>
      <c r="O40" s="4" t="s">
        <v>148</v>
      </c>
      <c r="P40" s="19" t="s">
        <v>382</v>
      </c>
      <c r="Q40" s="4" t="s">
        <v>210</v>
      </c>
      <c r="R40" s="4" t="s">
        <v>383</v>
      </c>
      <c r="S40" s="5" t="s">
        <v>384</v>
      </c>
      <c r="T40" s="17" t="s">
        <v>177</v>
      </c>
      <c r="U40" s="5" t="s">
        <v>385</v>
      </c>
      <c r="V40" s="5" t="s">
        <v>386</v>
      </c>
      <c r="W40" s="5" t="s">
        <v>387</v>
      </c>
      <c r="X40" s="4" t="s">
        <v>181</v>
      </c>
    </row>
    <row r="41" ht="94.5" customHeight="1" spans="1:24">
      <c r="A41" s="17">
        <v>40</v>
      </c>
      <c r="B41" s="4" t="s">
        <v>44</v>
      </c>
      <c r="C41" s="4" t="s">
        <v>259</v>
      </c>
      <c r="D41" s="3" t="s">
        <v>388</v>
      </c>
      <c r="E41" s="13" t="s">
        <v>138</v>
      </c>
      <c r="F41" s="4" t="s">
        <v>100</v>
      </c>
      <c r="G41" s="4" t="s">
        <v>389</v>
      </c>
      <c r="H41" s="4" t="s">
        <v>233</v>
      </c>
      <c r="I41" s="5" t="s">
        <v>169</v>
      </c>
      <c r="J41" s="5" t="s">
        <v>169</v>
      </c>
      <c r="K41" s="5" t="s">
        <v>169</v>
      </c>
      <c r="L41" s="5" t="s">
        <v>169</v>
      </c>
      <c r="M41" s="4" t="s">
        <v>99</v>
      </c>
      <c r="N41" s="5" t="s">
        <v>103</v>
      </c>
      <c r="O41" s="4" t="s">
        <v>390</v>
      </c>
      <c r="P41" s="19" t="s">
        <v>391</v>
      </c>
      <c r="Q41" s="4" t="s">
        <v>210</v>
      </c>
      <c r="R41" s="4" t="s">
        <v>392</v>
      </c>
      <c r="S41" s="4" t="s">
        <v>393</v>
      </c>
      <c r="T41" s="17" t="s">
        <v>227</v>
      </c>
      <c r="U41" s="5" t="s">
        <v>329</v>
      </c>
      <c r="V41" s="5" t="s">
        <v>329</v>
      </c>
      <c r="W41" s="5" t="s">
        <v>169</v>
      </c>
      <c r="X41" s="4" t="s">
        <v>230</v>
      </c>
    </row>
    <row r="42" ht="94.5" customHeight="1" spans="1:24">
      <c r="A42" s="17">
        <v>41</v>
      </c>
      <c r="B42" s="4" t="s">
        <v>44</v>
      </c>
      <c r="C42" s="4" t="s">
        <v>259</v>
      </c>
      <c r="D42" s="3" t="s">
        <v>394</v>
      </c>
      <c r="E42" s="13" t="s">
        <v>138</v>
      </c>
      <c r="F42" s="4" t="s">
        <v>100</v>
      </c>
      <c r="G42" s="4" t="s">
        <v>389</v>
      </c>
      <c r="H42" s="4" t="s">
        <v>233</v>
      </c>
      <c r="I42" s="5" t="s">
        <v>169</v>
      </c>
      <c r="J42" s="5" t="s">
        <v>169</v>
      </c>
      <c r="K42" s="5" t="s">
        <v>169</v>
      </c>
      <c r="L42" s="5" t="s">
        <v>169</v>
      </c>
      <c r="M42" s="4" t="s">
        <v>99</v>
      </c>
      <c r="N42" s="5" t="s">
        <v>103</v>
      </c>
      <c r="O42" s="4" t="s">
        <v>390</v>
      </c>
      <c r="P42" s="19" t="s">
        <v>395</v>
      </c>
      <c r="Q42" s="4" t="s">
        <v>210</v>
      </c>
      <c r="R42" s="4" t="s">
        <v>392</v>
      </c>
      <c r="S42" s="4" t="s">
        <v>393</v>
      </c>
      <c r="T42" s="17" t="s">
        <v>227</v>
      </c>
      <c r="U42" s="5" t="s">
        <v>329</v>
      </c>
      <c r="V42" s="5" t="s">
        <v>329</v>
      </c>
      <c r="W42" s="5" t="s">
        <v>169</v>
      </c>
      <c r="X42" s="4" t="s">
        <v>230</v>
      </c>
    </row>
    <row r="43" ht="94.5" customHeight="1" spans="1:24">
      <c r="A43" s="17">
        <v>42</v>
      </c>
      <c r="B43" s="4" t="s">
        <v>44</v>
      </c>
      <c r="C43" s="4" t="s">
        <v>259</v>
      </c>
      <c r="D43" s="3" t="s">
        <v>396</v>
      </c>
      <c r="E43" s="13" t="s">
        <v>138</v>
      </c>
      <c r="F43" s="4" t="s">
        <v>100</v>
      </c>
      <c r="G43" s="4" t="s">
        <v>389</v>
      </c>
      <c r="H43" s="4" t="s">
        <v>233</v>
      </c>
      <c r="I43" s="5" t="s">
        <v>169</v>
      </c>
      <c r="J43" s="5" t="s">
        <v>169</v>
      </c>
      <c r="K43" s="5" t="s">
        <v>169</v>
      </c>
      <c r="L43" s="5" t="s">
        <v>169</v>
      </c>
      <c r="M43" s="4" t="s">
        <v>99</v>
      </c>
      <c r="N43" s="5" t="s">
        <v>103</v>
      </c>
      <c r="O43" s="4" t="s">
        <v>390</v>
      </c>
      <c r="P43" s="19" t="s">
        <v>397</v>
      </c>
      <c r="Q43" s="4" t="s">
        <v>210</v>
      </c>
      <c r="R43" s="4" t="s">
        <v>392</v>
      </c>
      <c r="S43" s="4" t="s">
        <v>393</v>
      </c>
      <c r="T43" s="17" t="s">
        <v>227</v>
      </c>
      <c r="U43" s="5" t="s">
        <v>329</v>
      </c>
      <c r="V43" s="5" t="s">
        <v>329</v>
      </c>
      <c r="W43" s="5" t="s">
        <v>169</v>
      </c>
      <c r="X43" s="4" t="s">
        <v>230</v>
      </c>
    </row>
    <row r="44" ht="94.5" customHeight="1" spans="1:24">
      <c r="A44" s="17">
        <v>43</v>
      </c>
      <c r="B44" s="4" t="s">
        <v>44</v>
      </c>
      <c r="C44" s="4" t="s">
        <v>259</v>
      </c>
      <c r="D44" s="3" t="s">
        <v>398</v>
      </c>
      <c r="E44" s="13" t="s">
        <v>138</v>
      </c>
      <c r="F44" s="4" t="s">
        <v>100</v>
      </c>
      <c r="G44" s="4" t="s">
        <v>389</v>
      </c>
      <c r="H44" s="4" t="s">
        <v>233</v>
      </c>
      <c r="I44" s="5" t="s">
        <v>169</v>
      </c>
      <c r="J44" s="5" t="s">
        <v>169</v>
      </c>
      <c r="K44" s="5" t="s">
        <v>169</v>
      </c>
      <c r="L44" s="5" t="s">
        <v>169</v>
      </c>
      <c r="M44" s="4" t="s">
        <v>99</v>
      </c>
      <c r="N44" s="5" t="s">
        <v>103</v>
      </c>
      <c r="O44" s="4" t="s">
        <v>390</v>
      </c>
      <c r="P44" s="19" t="s">
        <v>399</v>
      </c>
      <c r="Q44" s="4" t="s">
        <v>210</v>
      </c>
      <c r="R44" s="4" t="s">
        <v>392</v>
      </c>
      <c r="S44" s="4" t="s">
        <v>393</v>
      </c>
      <c r="T44" s="17" t="s">
        <v>227</v>
      </c>
      <c r="U44" s="5" t="s">
        <v>329</v>
      </c>
      <c r="V44" s="5" t="s">
        <v>329</v>
      </c>
      <c r="W44" s="5" t="s">
        <v>169</v>
      </c>
      <c r="X44" s="4" t="s">
        <v>230</v>
      </c>
    </row>
    <row r="45" ht="94.5" customHeight="1" spans="1:24">
      <c r="A45" s="17">
        <v>44</v>
      </c>
      <c r="B45" s="4" t="s">
        <v>44</v>
      </c>
      <c r="C45" s="4" t="s">
        <v>259</v>
      </c>
      <c r="D45" s="3" t="s">
        <v>400</v>
      </c>
      <c r="E45" s="13" t="s">
        <v>138</v>
      </c>
      <c r="F45" s="4" t="s">
        <v>100</v>
      </c>
      <c r="G45" s="4" t="s">
        <v>389</v>
      </c>
      <c r="H45" s="4" t="s">
        <v>233</v>
      </c>
      <c r="I45" s="5" t="s">
        <v>169</v>
      </c>
      <c r="J45" s="5" t="s">
        <v>169</v>
      </c>
      <c r="K45" s="5" t="s">
        <v>169</v>
      </c>
      <c r="L45" s="5" t="s">
        <v>169</v>
      </c>
      <c r="M45" s="4" t="s">
        <v>99</v>
      </c>
      <c r="N45" s="5" t="s">
        <v>103</v>
      </c>
      <c r="O45" s="4" t="s">
        <v>390</v>
      </c>
      <c r="P45" s="19" t="s">
        <v>401</v>
      </c>
      <c r="Q45" s="4" t="s">
        <v>210</v>
      </c>
      <c r="R45" s="4" t="s">
        <v>392</v>
      </c>
      <c r="S45" s="4" t="s">
        <v>393</v>
      </c>
      <c r="T45" s="17" t="s">
        <v>227</v>
      </c>
      <c r="U45" s="5" t="s">
        <v>329</v>
      </c>
      <c r="V45" s="5" t="s">
        <v>329</v>
      </c>
      <c r="W45" s="5" t="s">
        <v>169</v>
      </c>
      <c r="X45" s="4" t="s">
        <v>230</v>
      </c>
    </row>
    <row r="46" ht="94.5" customHeight="1" spans="1:24">
      <c r="A46" s="17">
        <v>45</v>
      </c>
      <c r="B46" s="4" t="s">
        <v>44</v>
      </c>
      <c r="C46" s="4" t="s">
        <v>259</v>
      </c>
      <c r="D46" s="3" t="s">
        <v>402</v>
      </c>
      <c r="E46" s="13" t="s">
        <v>138</v>
      </c>
      <c r="F46" s="4" t="s">
        <v>100</v>
      </c>
      <c r="G46" s="4" t="s">
        <v>389</v>
      </c>
      <c r="H46" s="4" t="s">
        <v>233</v>
      </c>
      <c r="I46" s="5" t="s">
        <v>169</v>
      </c>
      <c r="J46" s="5" t="s">
        <v>169</v>
      </c>
      <c r="K46" s="5" t="s">
        <v>169</v>
      </c>
      <c r="L46" s="5" t="s">
        <v>169</v>
      </c>
      <c r="M46" s="4" t="s">
        <v>99</v>
      </c>
      <c r="N46" s="5" t="s">
        <v>103</v>
      </c>
      <c r="O46" s="4" t="s">
        <v>390</v>
      </c>
      <c r="P46" s="19" t="s">
        <v>403</v>
      </c>
      <c r="Q46" s="4" t="s">
        <v>210</v>
      </c>
      <c r="R46" s="4" t="s">
        <v>392</v>
      </c>
      <c r="S46" s="4" t="s">
        <v>393</v>
      </c>
      <c r="T46" s="17" t="s">
        <v>227</v>
      </c>
      <c r="U46" s="5" t="s">
        <v>329</v>
      </c>
      <c r="V46" s="5" t="s">
        <v>329</v>
      </c>
      <c r="W46" s="5" t="s">
        <v>169</v>
      </c>
      <c r="X46" s="4" t="s">
        <v>230</v>
      </c>
    </row>
    <row r="47" ht="66" customHeight="1" spans="1:24">
      <c r="A47" s="17">
        <v>46</v>
      </c>
      <c r="B47" s="4" t="s">
        <v>44</v>
      </c>
      <c r="C47" s="4" t="s">
        <v>404</v>
      </c>
      <c r="D47" s="3" t="s">
        <v>405</v>
      </c>
      <c r="E47" s="13" t="s">
        <v>138</v>
      </c>
      <c r="F47" s="4" t="s">
        <v>406</v>
      </c>
      <c r="G47" s="4" t="s">
        <v>407</v>
      </c>
      <c r="H47" s="4" t="s">
        <v>233</v>
      </c>
      <c r="I47" s="5" t="s">
        <v>169</v>
      </c>
      <c r="J47" s="5" t="s">
        <v>169</v>
      </c>
      <c r="K47" s="5" t="s">
        <v>169</v>
      </c>
      <c r="L47" s="5" t="s">
        <v>169</v>
      </c>
      <c r="M47" s="4" t="s">
        <v>117</v>
      </c>
      <c r="N47" s="5" t="s">
        <v>103</v>
      </c>
      <c r="O47" s="4" t="s">
        <v>148</v>
      </c>
      <c r="P47" s="19" t="s">
        <v>408</v>
      </c>
      <c r="Q47" s="4" t="s">
        <v>409</v>
      </c>
      <c r="R47" s="5" t="s">
        <v>410</v>
      </c>
      <c r="S47" s="5" t="s">
        <v>384</v>
      </c>
      <c r="T47" s="17" t="s">
        <v>177</v>
      </c>
      <c r="U47" s="4" t="s">
        <v>303</v>
      </c>
      <c r="V47" s="4" t="s">
        <v>303</v>
      </c>
      <c r="W47" s="4" t="s">
        <v>303</v>
      </c>
      <c r="X47" s="4" t="s">
        <v>181</v>
      </c>
    </row>
    <row r="48" ht="66" customHeight="1" spans="1:24">
      <c r="A48" s="17">
        <v>47</v>
      </c>
      <c r="B48" s="4" t="s">
        <v>44</v>
      </c>
      <c r="C48" s="4" t="s">
        <v>404</v>
      </c>
      <c r="D48" s="3" t="s">
        <v>411</v>
      </c>
      <c r="E48" s="13" t="s">
        <v>138</v>
      </c>
      <c r="F48" s="4" t="s">
        <v>412</v>
      </c>
      <c r="G48" s="4" t="s">
        <v>413</v>
      </c>
      <c r="H48" s="4" t="s">
        <v>233</v>
      </c>
      <c r="I48" s="5" t="s">
        <v>169</v>
      </c>
      <c r="J48" s="5" t="s">
        <v>169</v>
      </c>
      <c r="K48" s="5" t="s">
        <v>169</v>
      </c>
      <c r="L48" s="5" t="s">
        <v>169</v>
      </c>
      <c r="M48" s="4" t="s">
        <v>117</v>
      </c>
      <c r="N48" s="5" t="s">
        <v>112</v>
      </c>
      <c r="O48" s="4" t="s">
        <v>148</v>
      </c>
      <c r="P48" s="19" t="s">
        <v>414</v>
      </c>
      <c r="Q48" s="4" t="s">
        <v>415</v>
      </c>
      <c r="R48" s="5" t="s">
        <v>416</v>
      </c>
      <c r="S48" s="5" t="s">
        <v>384</v>
      </c>
      <c r="T48" s="17" t="s">
        <v>177</v>
      </c>
      <c r="U48" s="5" t="s">
        <v>417</v>
      </c>
      <c r="V48" s="5" t="s">
        <v>418</v>
      </c>
      <c r="W48" s="5" t="s">
        <v>419</v>
      </c>
      <c r="X48" s="4" t="s">
        <v>181</v>
      </c>
    </row>
    <row r="49" ht="66" customHeight="1" spans="1:24">
      <c r="A49" s="17">
        <v>48</v>
      </c>
      <c r="B49" s="4" t="s">
        <v>44</v>
      </c>
      <c r="C49" s="4" t="s">
        <v>34</v>
      </c>
      <c r="D49" s="3" t="s">
        <v>420</v>
      </c>
      <c r="E49" s="13" t="s">
        <v>138</v>
      </c>
      <c r="F49" s="4" t="s">
        <v>109</v>
      </c>
      <c r="G49" s="4" t="s">
        <v>421</v>
      </c>
      <c r="H49" s="4" t="s">
        <v>233</v>
      </c>
      <c r="I49" s="5" t="s">
        <v>169</v>
      </c>
      <c r="J49" s="4" t="s">
        <v>242</v>
      </c>
      <c r="K49" s="5" t="s">
        <v>169</v>
      </c>
      <c r="L49" s="5" t="s">
        <v>169</v>
      </c>
      <c r="M49" s="4" t="s">
        <v>108</v>
      </c>
      <c r="N49" s="5" t="s">
        <v>112</v>
      </c>
      <c r="O49" s="4" t="s">
        <v>390</v>
      </c>
      <c r="P49" s="19" t="s">
        <v>422</v>
      </c>
      <c r="Q49" s="4" t="s">
        <v>244</v>
      </c>
      <c r="R49" s="4" t="s">
        <v>423</v>
      </c>
      <c r="S49" s="5" t="s">
        <v>424</v>
      </c>
      <c r="T49" s="17" t="s">
        <v>227</v>
      </c>
      <c r="U49" s="5" t="s">
        <v>294</v>
      </c>
      <c r="V49" s="5" t="s">
        <v>294</v>
      </c>
      <c r="W49" s="5" t="s">
        <v>169</v>
      </c>
      <c r="X49" s="4" t="s">
        <v>230</v>
      </c>
    </row>
    <row r="50" ht="80.25" customHeight="1" spans="1:24">
      <c r="A50" s="17">
        <v>49</v>
      </c>
      <c r="B50" s="4" t="s">
        <v>44</v>
      </c>
      <c r="C50" s="4" t="s">
        <v>34</v>
      </c>
      <c r="D50" s="3" t="s">
        <v>425</v>
      </c>
      <c r="E50" s="13" t="s">
        <v>138</v>
      </c>
      <c r="F50" s="4" t="s">
        <v>109</v>
      </c>
      <c r="G50" s="4" t="s">
        <v>426</v>
      </c>
      <c r="H50" s="4" t="s">
        <v>233</v>
      </c>
      <c r="I50" s="5" t="s">
        <v>169</v>
      </c>
      <c r="J50" s="4" t="s">
        <v>242</v>
      </c>
      <c r="K50" s="5" t="s">
        <v>169</v>
      </c>
      <c r="L50" s="5" t="s">
        <v>169</v>
      </c>
      <c r="M50" s="4" t="s">
        <v>108</v>
      </c>
      <c r="N50" s="5" t="s">
        <v>112</v>
      </c>
      <c r="O50" s="4" t="s">
        <v>390</v>
      </c>
      <c r="P50" s="19" t="s">
        <v>427</v>
      </c>
      <c r="Q50" s="4" t="s">
        <v>244</v>
      </c>
      <c r="R50" s="4" t="s">
        <v>423</v>
      </c>
      <c r="S50" s="5" t="s">
        <v>424</v>
      </c>
      <c r="T50" s="17" t="s">
        <v>227</v>
      </c>
      <c r="U50" s="5" t="s">
        <v>294</v>
      </c>
      <c r="V50" s="5" t="s">
        <v>294</v>
      </c>
      <c r="W50" s="5" t="s">
        <v>169</v>
      </c>
      <c r="X50" s="4" t="s">
        <v>230</v>
      </c>
    </row>
    <row r="51" ht="80.25" customHeight="1" spans="1:24">
      <c r="A51" s="17">
        <v>50</v>
      </c>
      <c r="B51" s="4" t="s">
        <v>44</v>
      </c>
      <c r="C51" s="4" t="s">
        <v>34</v>
      </c>
      <c r="D51" s="3" t="s">
        <v>428</v>
      </c>
      <c r="E51" s="13" t="s">
        <v>138</v>
      </c>
      <c r="F51" s="4" t="s">
        <v>109</v>
      </c>
      <c r="G51" s="4" t="s">
        <v>429</v>
      </c>
      <c r="H51" s="4" t="s">
        <v>233</v>
      </c>
      <c r="I51" s="5" t="s">
        <v>169</v>
      </c>
      <c r="J51" s="4" t="s">
        <v>242</v>
      </c>
      <c r="K51" s="5" t="s">
        <v>169</v>
      </c>
      <c r="L51" s="5" t="s">
        <v>169</v>
      </c>
      <c r="M51" s="4" t="s">
        <v>108</v>
      </c>
      <c r="N51" s="5" t="s">
        <v>112</v>
      </c>
      <c r="O51" s="4" t="s">
        <v>390</v>
      </c>
      <c r="P51" s="19" t="s">
        <v>430</v>
      </c>
      <c r="Q51" s="4" t="s">
        <v>244</v>
      </c>
      <c r="R51" s="4" t="s">
        <v>423</v>
      </c>
      <c r="S51" s="5" t="s">
        <v>424</v>
      </c>
      <c r="T51" s="17" t="s">
        <v>227</v>
      </c>
      <c r="U51" s="5" t="s">
        <v>294</v>
      </c>
      <c r="V51" s="5" t="s">
        <v>294</v>
      </c>
      <c r="W51" s="5" t="s">
        <v>169</v>
      </c>
      <c r="X51" s="4" t="s">
        <v>230</v>
      </c>
    </row>
    <row r="52" ht="80.25" customHeight="1" spans="1:24">
      <c r="A52" s="17">
        <v>51</v>
      </c>
      <c r="B52" s="4" t="s">
        <v>44</v>
      </c>
      <c r="C52" s="4" t="s">
        <v>34</v>
      </c>
      <c r="D52" s="3" t="s">
        <v>431</v>
      </c>
      <c r="E52" s="13" t="s">
        <v>138</v>
      </c>
      <c r="F52" s="4" t="s">
        <v>109</v>
      </c>
      <c r="G52" s="4" t="s">
        <v>432</v>
      </c>
      <c r="H52" s="4" t="s">
        <v>233</v>
      </c>
      <c r="I52" s="5" t="s">
        <v>169</v>
      </c>
      <c r="J52" s="4" t="s">
        <v>242</v>
      </c>
      <c r="K52" s="5" t="s">
        <v>169</v>
      </c>
      <c r="L52" s="5" t="s">
        <v>169</v>
      </c>
      <c r="M52" s="4" t="s">
        <v>108</v>
      </c>
      <c r="N52" s="5" t="s">
        <v>112</v>
      </c>
      <c r="O52" s="4" t="s">
        <v>390</v>
      </c>
      <c r="P52" s="19" t="s">
        <v>433</v>
      </c>
      <c r="Q52" s="4" t="s">
        <v>244</v>
      </c>
      <c r="R52" s="4" t="s">
        <v>423</v>
      </c>
      <c r="S52" s="5" t="s">
        <v>424</v>
      </c>
      <c r="T52" s="17" t="s">
        <v>227</v>
      </c>
      <c r="U52" s="5" t="s">
        <v>294</v>
      </c>
      <c r="V52" s="5" t="s">
        <v>294</v>
      </c>
      <c r="W52" s="5" t="s">
        <v>169</v>
      </c>
      <c r="X52" s="4" t="s">
        <v>230</v>
      </c>
    </row>
    <row r="53" ht="80.25" customHeight="1" spans="1:24">
      <c r="A53" s="17">
        <v>52</v>
      </c>
      <c r="B53" s="4" t="s">
        <v>44</v>
      </c>
      <c r="C53" s="4" t="s">
        <v>34</v>
      </c>
      <c r="D53" s="3" t="s">
        <v>434</v>
      </c>
      <c r="E53" s="13" t="s">
        <v>138</v>
      </c>
      <c r="F53" s="4" t="s">
        <v>109</v>
      </c>
      <c r="G53" s="4" t="s">
        <v>435</v>
      </c>
      <c r="H53" s="4" t="s">
        <v>233</v>
      </c>
      <c r="I53" s="5" t="s">
        <v>169</v>
      </c>
      <c r="J53" s="4" t="s">
        <v>242</v>
      </c>
      <c r="K53" s="5" t="s">
        <v>169</v>
      </c>
      <c r="L53" s="5" t="s">
        <v>169</v>
      </c>
      <c r="M53" s="4" t="s">
        <v>108</v>
      </c>
      <c r="N53" s="5" t="s">
        <v>112</v>
      </c>
      <c r="O53" s="4" t="s">
        <v>390</v>
      </c>
      <c r="P53" s="19" t="s">
        <v>436</v>
      </c>
      <c r="Q53" s="4" t="s">
        <v>244</v>
      </c>
      <c r="R53" s="4" t="s">
        <v>423</v>
      </c>
      <c r="S53" s="5" t="s">
        <v>424</v>
      </c>
      <c r="T53" s="17" t="s">
        <v>227</v>
      </c>
      <c r="U53" s="5" t="s">
        <v>294</v>
      </c>
      <c r="V53" s="5" t="s">
        <v>294</v>
      </c>
      <c r="W53" s="5" t="s">
        <v>169</v>
      </c>
      <c r="X53" s="4" t="s">
        <v>230</v>
      </c>
    </row>
    <row r="54" ht="80.25" customHeight="1" spans="1:24">
      <c r="A54" s="17">
        <v>53</v>
      </c>
      <c r="B54" s="4" t="s">
        <v>44</v>
      </c>
      <c r="C54" s="4" t="s">
        <v>34</v>
      </c>
      <c r="D54" s="3" t="s">
        <v>437</v>
      </c>
      <c r="E54" s="13" t="s">
        <v>138</v>
      </c>
      <c r="F54" s="4" t="s">
        <v>109</v>
      </c>
      <c r="G54" s="4" t="s">
        <v>438</v>
      </c>
      <c r="H54" s="4" t="s">
        <v>233</v>
      </c>
      <c r="I54" s="5" t="s">
        <v>169</v>
      </c>
      <c r="J54" s="4" t="s">
        <v>242</v>
      </c>
      <c r="K54" s="5" t="s">
        <v>169</v>
      </c>
      <c r="L54" s="5" t="s">
        <v>169</v>
      </c>
      <c r="M54" s="4" t="s">
        <v>108</v>
      </c>
      <c r="N54" s="5" t="s">
        <v>112</v>
      </c>
      <c r="O54" s="4" t="s">
        <v>390</v>
      </c>
      <c r="P54" s="19" t="s">
        <v>439</v>
      </c>
      <c r="Q54" s="4" t="s">
        <v>244</v>
      </c>
      <c r="R54" s="4" t="s">
        <v>423</v>
      </c>
      <c r="S54" s="5" t="s">
        <v>424</v>
      </c>
      <c r="T54" s="17" t="s">
        <v>227</v>
      </c>
      <c r="U54" s="5" t="s">
        <v>294</v>
      </c>
      <c r="V54" s="5" t="s">
        <v>294</v>
      </c>
      <c r="W54" s="5" t="s">
        <v>169</v>
      </c>
      <c r="X54" s="4" t="s">
        <v>230</v>
      </c>
    </row>
  </sheetData>
  <autoFilter xmlns:etc="http://www.wps.cn/officeDocument/2017/etCustomData" ref="A1:X54" etc:filterBottomFollowUsedRange="0">
    <filterColumn colId="4">
      <filters>
        <filter val="不选入"/>
      </filters>
    </filterColumn>
    <extLst/>
  </autoFilter>
  <pageMargins left="0.4" right="0.4" top="1" bottom="1" header="0.511811023622047" footer="0.511811023622047"/>
  <pageSetup paperSize="9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5AD"/>
    <pageSetUpPr fitToPage="1"/>
  </sheetPr>
  <dimension ref="A1:E18"/>
  <sheetViews>
    <sheetView showGridLines="0" workbookViewId="0">
      <selection activeCell="D25" sqref="D25"/>
    </sheetView>
  </sheetViews>
  <sheetFormatPr defaultColWidth="8.67619047619048" defaultRowHeight="15" outlineLevelCol="4"/>
  <cols>
    <col min="1" max="1" width="46" customWidth="1"/>
    <col min="2" max="2" width="26" customWidth="1"/>
    <col min="3" max="4" width="12" customWidth="1"/>
    <col min="5" max="5" width="22" customWidth="1"/>
  </cols>
  <sheetData>
    <row r="1" ht="27.75" customHeight="1" spans="1:5">
      <c r="A1" s="1" t="s">
        <v>440</v>
      </c>
    </row>
    <row r="2" ht="49.5" customHeight="1" spans="1:5">
      <c r="A2" s="23" t="s">
        <v>441</v>
      </c>
      <c r="B2" s="23"/>
      <c r="C2" s="23"/>
      <c r="D2" s="23"/>
      <c r="E2" s="23"/>
    </row>
    <row r="4" ht="31.5" customHeight="1" spans="1:5">
      <c r="A4" s="2" t="s">
        <v>159</v>
      </c>
      <c r="B4" s="2" t="s">
        <v>151</v>
      </c>
      <c r="C4" s="2" t="s">
        <v>4</v>
      </c>
      <c r="D4" s="2" t="s">
        <v>442</v>
      </c>
      <c r="E4" s="2" t="s">
        <v>443</v>
      </c>
    </row>
    <row r="5" spans="1:5">
      <c r="A5" s="19" t="s">
        <v>444</v>
      </c>
      <c r="B5" s="4" t="s">
        <v>445</v>
      </c>
      <c r="C5" s="4" t="s">
        <v>35</v>
      </c>
      <c r="D5" s="4" t="s">
        <v>446</v>
      </c>
      <c r="E5" s="19" t="s">
        <v>447</v>
      </c>
    </row>
    <row r="6" spans="1:5">
      <c r="A6" s="19" t="s">
        <v>448</v>
      </c>
      <c r="B6" s="4" t="s">
        <v>449</v>
      </c>
      <c r="C6" s="4" t="s">
        <v>35</v>
      </c>
      <c r="D6" s="4" t="s">
        <v>450</v>
      </c>
      <c r="E6" s="19" t="s">
        <v>447</v>
      </c>
    </row>
    <row r="7" spans="1:5">
      <c r="A7" s="19" t="s">
        <v>451</v>
      </c>
      <c r="B7" s="4" t="s">
        <v>452</v>
      </c>
      <c r="C7" s="4" t="s">
        <v>35</v>
      </c>
      <c r="D7" s="4" t="s">
        <v>446</v>
      </c>
      <c r="E7" s="19" t="s">
        <v>453</v>
      </c>
    </row>
    <row r="8" spans="1:5">
      <c r="A8" s="19" t="s">
        <v>454</v>
      </c>
      <c r="B8" s="4" t="s">
        <v>455</v>
      </c>
      <c r="C8" s="4" t="s">
        <v>35</v>
      </c>
      <c r="D8" s="4" t="s">
        <v>450</v>
      </c>
      <c r="E8" s="19" t="s">
        <v>453</v>
      </c>
    </row>
    <row r="9" ht="25.5" spans="1:5">
      <c r="A9" s="19" t="s">
        <v>456</v>
      </c>
      <c r="B9" s="4" t="s">
        <v>457</v>
      </c>
      <c r="C9" s="4" t="s">
        <v>10</v>
      </c>
      <c r="D9" s="4" t="s">
        <v>446</v>
      </c>
      <c r="E9" s="19" t="s">
        <v>458</v>
      </c>
    </row>
    <row r="10" spans="1:5">
      <c r="A10" s="19" t="s">
        <v>459</v>
      </c>
      <c r="B10" s="4" t="s">
        <v>460</v>
      </c>
      <c r="C10" s="4" t="s">
        <v>10</v>
      </c>
      <c r="D10" s="4" t="s">
        <v>450</v>
      </c>
      <c r="E10" s="19" t="s">
        <v>458</v>
      </c>
    </row>
    <row r="11" ht="25.5" spans="1:5">
      <c r="A11" s="19" t="s">
        <v>461</v>
      </c>
      <c r="B11" s="4" t="s">
        <v>462</v>
      </c>
      <c r="C11" s="4" t="s">
        <v>10</v>
      </c>
      <c r="D11" s="4" t="s">
        <v>446</v>
      </c>
      <c r="E11" s="19" t="s">
        <v>458</v>
      </c>
    </row>
    <row r="12" spans="1:5">
      <c r="A12" s="19" t="s">
        <v>463</v>
      </c>
      <c r="B12" s="4" t="s">
        <v>464</v>
      </c>
      <c r="C12" s="4" t="s">
        <v>10</v>
      </c>
      <c r="D12" s="4" t="s">
        <v>450</v>
      </c>
      <c r="E12" s="19" t="s">
        <v>458</v>
      </c>
    </row>
    <row r="13" ht="25.5" spans="1:5">
      <c r="A13" s="19" t="s">
        <v>465</v>
      </c>
      <c r="B13" s="4" t="s">
        <v>466</v>
      </c>
      <c r="C13" s="4" t="s">
        <v>44</v>
      </c>
      <c r="D13" s="4" t="s">
        <v>446</v>
      </c>
      <c r="E13" s="19" t="s">
        <v>458</v>
      </c>
    </row>
    <row r="14" spans="1:5">
      <c r="A14" s="19" t="s">
        <v>467</v>
      </c>
      <c r="B14" s="4" t="s">
        <v>468</v>
      </c>
      <c r="C14" s="4" t="s">
        <v>44</v>
      </c>
      <c r="D14" s="4" t="s">
        <v>450</v>
      </c>
      <c r="E14" s="19" t="s">
        <v>458</v>
      </c>
    </row>
    <row r="15" spans="1:5">
      <c r="A15" s="19" t="s">
        <v>469</v>
      </c>
      <c r="B15" s="4" t="s">
        <v>470</v>
      </c>
      <c r="C15" s="4" t="s">
        <v>44</v>
      </c>
      <c r="D15" s="4" t="s">
        <v>446</v>
      </c>
      <c r="E15" s="19" t="s">
        <v>458</v>
      </c>
    </row>
    <row r="16" spans="1:5">
      <c r="A16" s="19" t="s">
        <v>471</v>
      </c>
      <c r="B16" s="4" t="s">
        <v>472</v>
      </c>
      <c r="C16" s="4" t="s">
        <v>44</v>
      </c>
      <c r="D16" s="4" t="s">
        <v>450</v>
      </c>
      <c r="E16" s="19" t="s">
        <v>458</v>
      </c>
    </row>
    <row r="18" spans="1:5">
      <c r="A18" s="24" t="s">
        <v>473</v>
      </c>
      <c r="B18" s="24"/>
      <c r="C18" s="24"/>
      <c r="D18" s="24"/>
      <c r="E18" s="24"/>
    </row>
  </sheetData>
  <mergeCells count="2">
    <mergeCell ref="A2:E2"/>
    <mergeCell ref="A18:E18"/>
  </mergeCells>
  <pageMargins left="0.4" right="0.4" top="1" bottom="1" header="0.511811023622047" footer="0.511811023622047"/>
  <pageSetup paperSize="9" fitToHeight="0" orientation="landscape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5AD"/>
    <pageSetUpPr fitToPage="1"/>
  </sheetPr>
  <dimension ref="A1:F30"/>
  <sheetViews>
    <sheetView showGridLines="0" workbookViewId="0">
      <pane ySplit="4" topLeftCell="A24" activePane="bottomLeft" state="frozen"/>
      <selection/>
      <selection pane="bottomLeft" activeCell="A1" sqref="A1"/>
    </sheetView>
  </sheetViews>
  <sheetFormatPr defaultColWidth="8.67619047619048" defaultRowHeight="15" outlineLevelCol="5"/>
  <cols>
    <col min="1" max="1" width="16" customWidth="1"/>
    <col min="2" max="2" width="34" customWidth="1"/>
    <col min="3" max="3" width="46" customWidth="1"/>
    <col min="4" max="4" width="18" customWidth="1"/>
    <col min="5" max="5" width="34" customWidth="1"/>
    <col min="6" max="6" width="44" customWidth="1"/>
  </cols>
  <sheetData>
    <row r="1" ht="27.75" customHeight="1" spans="1:6">
      <c r="A1" s="1" t="s">
        <v>474</v>
      </c>
    </row>
    <row r="2" ht="31.5" customHeight="1" spans="1:6">
      <c r="A2" s="15" t="s">
        <v>475</v>
      </c>
      <c r="B2" s="15"/>
      <c r="C2" s="15"/>
      <c r="D2" s="15"/>
      <c r="E2" s="15"/>
      <c r="F2" s="15"/>
    </row>
    <row r="4" ht="31.5" customHeight="1" spans="1:6">
      <c r="A4" s="2" t="s">
        <v>476</v>
      </c>
      <c r="B4" s="2" t="s">
        <v>477</v>
      </c>
      <c r="C4" s="2" t="s">
        <v>478</v>
      </c>
      <c r="D4" s="2" t="s">
        <v>479</v>
      </c>
      <c r="E4" s="2" t="s">
        <v>480</v>
      </c>
      <c r="F4" s="2" t="s">
        <v>95</v>
      </c>
    </row>
    <row r="5" ht="36.75" customHeight="1" spans="1:6">
      <c r="A5" s="22" t="s">
        <v>481</v>
      </c>
      <c r="B5" s="3" t="s">
        <v>482</v>
      </c>
      <c r="C5" s="4" t="s">
        <v>483</v>
      </c>
      <c r="D5" s="4" t="s">
        <v>10</v>
      </c>
      <c r="E5" s="4" t="s">
        <v>484</v>
      </c>
      <c r="F5" s="4" t="s">
        <v>485</v>
      </c>
    </row>
    <row r="6" ht="36.75" customHeight="1" spans="1:6">
      <c r="A6" s="22"/>
      <c r="B6" s="3" t="s">
        <v>486</v>
      </c>
      <c r="C6" s="4" t="s">
        <v>487</v>
      </c>
      <c r="D6" s="4" t="s">
        <v>10</v>
      </c>
      <c r="E6" s="4" t="s">
        <v>488</v>
      </c>
      <c r="F6" s="4" t="s">
        <v>489</v>
      </c>
    </row>
    <row r="7" ht="36.75" customHeight="1" spans="1:6">
      <c r="A7" s="22"/>
      <c r="B7" s="6" t="s">
        <v>490</v>
      </c>
      <c r="C7" s="4" t="s">
        <v>491</v>
      </c>
      <c r="D7" s="4" t="s">
        <v>492</v>
      </c>
      <c r="E7" s="4" t="s">
        <v>493</v>
      </c>
      <c r="F7" s="4" t="s">
        <v>494</v>
      </c>
    </row>
    <row r="8" ht="36.75" customHeight="1" spans="1:6">
      <c r="A8" s="22"/>
      <c r="B8" s="3" t="s">
        <v>495</v>
      </c>
      <c r="C8" s="4" t="s">
        <v>496</v>
      </c>
      <c r="D8" s="4" t="s">
        <v>35</v>
      </c>
      <c r="E8" s="4" t="s">
        <v>497</v>
      </c>
      <c r="F8" s="4" t="s">
        <v>498</v>
      </c>
    </row>
    <row r="9" ht="36.75" customHeight="1" spans="1:6">
      <c r="A9" s="22"/>
      <c r="B9" s="3" t="s">
        <v>499</v>
      </c>
      <c r="C9" s="4" t="s">
        <v>500</v>
      </c>
      <c r="D9" s="4" t="s">
        <v>501</v>
      </c>
      <c r="E9" s="4" t="s">
        <v>502</v>
      </c>
      <c r="F9" s="4" t="s">
        <v>503</v>
      </c>
    </row>
    <row r="10" ht="66" customHeight="1" spans="1:6">
      <c r="A10" s="22" t="s">
        <v>504</v>
      </c>
      <c r="B10" s="3" t="s">
        <v>505</v>
      </c>
      <c r="C10" s="4" t="s">
        <v>506</v>
      </c>
      <c r="D10" s="4" t="s">
        <v>10</v>
      </c>
      <c r="E10" s="5" t="s">
        <v>507</v>
      </c>
      <c r="F10" s="4" t="s">
        <v>508</v>
      </c>
    </row>
    <row r="11" ht="51" customHeight="1" spans="1:6">
      <c r="A11" s="22"/>
      <c r="B11" s="3" t="s">
        <v>509</v>
      </c>
      <c r="C11" s="4" t="s">
        <v>510</v>
      </c>
      <c r="D11" s="4" t="s">
        <v>511</v>
      </c>
      <c r="E11" s="5" t="s">
        <v>512</v>
      </c>
      <c r="F11" s="4" t="s">
        <v>513</v>
      </c>
    </row>
    <row r="12" ht="51" customHeight="1" spans="1:6">
      <c r="A12" s="22"/>
      <c r="B12" s="3" t="s">
        <v>514</v>
      </c>
      <c r="C12" s="4" t="s">
        <v>515</v>
      </c>
      <c r="D12" s="4" t="s">
        <v>10</v>
      </c>
      <c r="E12" s="5" t="s">
        <v>516</v>
      </c>
      <c r="F12" s="4" t="s">
        <v>517</v>
      </c>
    </row>
    <row r="13" ht="25.5" customHeight="1" spans="1:6">
      <c r="A13" s="22"/>
      <c r="B13" s="3" t="s">
        <v>518</v>
      </c>
      <c r="C13" s="4" t="s">
        <v>519</v>
      </c>
      <c r="D13" s="4" t="s">
        <v>10</v>
      </c>
      <c r="E13" s="4" t="s">
        <v>520</v>
      </c>
      <c r="F13" s="4" t="s">
        <v>521</v>
      </c>
    </row>
    <row r="14" ht="51" customHeight="1" spans="1:6">
      <c r="A14" s="22" t="s">
        <v>522</v>
      </c>
      <c r="B14" s="3" t="s">
        <v>523</v>
      </c>
      <c r="C14" s="4" t="s">
        <v>524</v>
      </c>
      <c r="D14" s="4" t="s">
        <v>525</v>
      </c>
      <c r="E14" s="4" t="s">
        <v>526</v>
      </c>
      <c r="F14" s="4" t="s">
        <v>527</v>
      </c>
    </row>
    <row r="15" ht="36.75" customHeight="1" spans="1:6">
      <c r="A15" s="22"/>
      <c r="B15" s="3" t="s">
        <v>528</v>
      </c>
      <c r="C15" s="4" t="s">
        <v>529</v>
      </c>
      <c r="D15" s="4" t="s">
        <v>525</v>
      </c>
      <c r="E15" s="4" t="s">
        <v>530</v>
      </c>
      <c r="F15" s="4" t="s">
        <v>531</v>
      </c>
    </row>
    <row r="16" ht="51" customHeight="1" spans="1:6">
      <c r="A16" s="22"/>
      <c r="B16" s="3" t="s">
        <v>532</v>
      </c>
      <c r="C16" s="4" t="s">
        <v>533</v>
      </c>
      <c r="D16" s="4" t="s">
        <v>534</v>
      </c>
      <c r="E16" s="4" t="s">
        <v>535</v>
      </c>
      <c r="F16" s="4" t="s">
        <v>536</v>
      </c>
    </row>
    <row r="17" ht="25.5" customHeight="1" spans="1:6">
      <c r="A17" s="22"/>
      <c r="B17" s="3" t="s">
        <v>537</v>
      </c>
      <c r="C17" s="4" t="s">
        <v>538</v>
      </c>
      <c r="D17" s="4" t="s">
        <v>525</v>
      </c>
      <c r="E17" s="4" t="s">
        <v>539</v>
      </c>
      <c r="F17" s="4" t="s">
        <v>540</v>
      </c>
    </row>
    <row r="18" ht="109.5" customHeight="1" spans="1:6">
      <c r="A18" s="22"/>
      <c r="B18" s="3" t="s">
        <v>541</v>
      </c>
      <c r="C18" s="5" t="s">
        <v>542</v>
      </c>
      <c r="D18" s="4" t="s">
        <v>534</v>
      </c>
      <c r="E18" s="5" t="s">
        <v>543</v>
      </c>
      <c r="F18" s="5" t="s">
        <v>544</v>
      </c>
    </row>
    <row r="19" ht="36.75" customHeight="1" spans="1:6">
      <c r="A19" s="22"/>
      <c r="B19" s="3" t="s">
        <v>545</v>
      </c>
      <c r="C19" s="4" t="s">
        <v>546</v>
      </c>
      <c r="D19" s="4" t="s">
        <v>525</v>
      </c>
      <c r="E19" s="4" t="s">
        <v>547</v>
      </c>
      <c r="F19" s="4" t="s">
        <v>548</v>
      </c>
    </row>
    <row r="20" ht="25.5" customHeight="1" spans="1:6">
      <c r="A20" s="22" t="s">
        <v>549</v>
      </c>
      <c r="B20" s="3" t="s">
        <v>550</v>
      </c>
      <c r="C20" s="5" t="s">
        <v>551</v>
      </c>
      <c r="D20" s="4" t="s">
        <v>552</v>
      </c>
      <c r="E20" s="5" t="s">
        <v>553</v>
      </c>
      <c r="F20" s="4"/>
    </row>
    <row r="21" ht="25.5" customHeight="1" spans="1:6">
      <c r="A21" s="22"/>
      <c r="B21" s="3" t="s">
        <v>554</v>
      </c>
      <c r="C21" s="5" t="s">
        <v>555</v>
      </c>
      <c r="D21" s="4" t="s">
        <v>552</v>
      </c>
      <c r="E21" s="5" t="s">
        <v>556</v>
      </c>
      <c r="F21" s="4"/>
    </row>
    <row r="22" ht="36.75" customHeight="1" spans="1:6">
      <c r="A22" s="22"/>
      <c r="B22" s="3" t="s">
        <v>557</v>
      </c>
      <c r="C22" s="5" t="s">
        <v>558</v>
      </c>
      <c r="D22" s="4" t="s">
        <v>552</v>
      </c>
      <c r="E22" s="5" t="s">
        <v>559</v>
      </c>
      <c r="F22" s="4"/>
    </row>
    <row r="23" ht="36.75" customHeight="1" spans="1:6">
      <c r="A23" s="22"/>
      <c r="B23" s="3" t="s">
        <v>560</v>
      </c>
      <c r="C23" s="5" t="s">
        <v>561</v>
      </c>
      <c r="D23" s="4" t="s">
        <v>552</v>
      </c>
      <c r="E23" s="5" t="s">
        <v>562</v>
      </c>
      <c r="F23" s="4" t="s">
        <v>563</v>
      </c>
    </row>
    <row r="24" ht="36.75" customHeight="1" spans="1:6">
      <c r="A24" s="22"/>
      <c r="B24" s="3" t="s">
        <v>564</v>
      </c>
      <c r="C24" s="5" t="s">
        <v>565</v>
      </c>
      <c r="D24" s="4" t="s">
        <v>552</v>
      </c>
      <c r="E24" s="5" t="s">
        <v>566</v>
      </c>
      <c r="F24" s="4" t="s">
        <v>567</v>
      </c>
    </row>
    <row r="25" ht="36.75" customHeight="1" spans="1:6">
      <c r="A25" s="22"/>
      <c r="B25" s="3" t="s">
        <v>568</v>
      </c>
      <c r="C25" s="5" t="s">
        <v>569</v>
      </c>
      <c r="D25" s="4" t="s">
        <v>552</v>
      </c>
      <c r="E25" s="5" t="s">
        <v>570</v>
      </c>
      <c r="F25" s="4"/>
    </row>
    <row r="26" ht="51" customHeight="1" spans="1:6">
      <c r="A26" s="22"/>
      <c r="B26" s="3" t="s">
        <v>571</v>
      </c>
      <c r="C26" s="4" t="s">
        <v>572</v>
      </c>
      <c r="D26" s="5" t="s">
        <v>169</v>
      </c>
      <c r="E26" s="5" t="s">
        <v>169</v>
      </c>
      <c r="F26" s="4" t="s">
        <v>573</v>
      </c>
    </row>
    <row r="27" ht="51" customHeight="1" spans="1:6">
      <c r="A27" s="22"/>
      <c r="B27" s="3" t="s">
        <v>574</v>
      </c>
      <c r="C27" s="4" t="s">
        <v>575</v>
      </c>
      <c r="D27" s="4" t="s">
        <v>552</v>
      </c>
      <c r="E27" s="5" t="s">
        <v>576</v>
      </c>
      <c r="F27" s="4" t="s">
        <v>577</v>
      </c>
    </row>
    <row r="28" ht="25.5" customHeight="1" spans="1:6">
      <c r="A28" s="22" t="s">
        <v>578</v>
      </c>
      <c r="B28" s="3" t="s">
        <v>579</v>
      </c>
      <c r="C28" s="5" t="s">
        <v>580</v>
      </c>
      <c r="D28" s="4" t="s">
        <v>552</v>
      </c>
      <c r="E28" s="4" t="s">
        <v>581</v>
      </c>
      <c r="F28" s="4"/>
    </row>
    <row r="29" ht="36.75" customHeight="1" spans="1:6">
      <c r="A29" s="22"/>
      <c r="B29" s="3" t="s">
        <v>582</v>
      </c>
      <c r="C29" s="5" t="s">
        <v>583</v>
      </c>
      <c r="D29" s="4" t="s">
        <v>552</v>
      </c>
      <c r="E29" s="4" t="s">
        <v>584</v>
      </c>
      <c r="F29" s="4" t="s">
        <v>585</v>
      </c>
    </row>
    <row r="30" ht="66" customHeight="1" spans="1:6">
      <c r="A30" s="22"/>
      <c r="B30" s="6" t="s">
        <v>586</v>
      </c>
      <c r="C30" s="5" t="s">
        <v>587</v>
      </c>
      <c r="D30" s="4" t="s">
        <v>552</v>
      </c>
      <c r="E30" s="5" t="s">
        <v>588</v>
      </c>
      <c r="F30" s="5" t="s">
        <v>589</v>
      </c>
    </row>
  </sheetData>
  <mergeCells count="6">
    <mergeCell ref="A2:F2"/>
    <mergeCell ref="A5:A9"/>
    <mergeCell ref="A10:A13"/>
    <mergeCell ref="A14:A19"/>
    <mergeCell ref="A20:A27"/>
    <mergeCell ref="A28:A30"/>
  </mergeCells>
  <pageMargins left="0.4" right="0.4" top="1" bottom="1" header="0.511811023622047" footer="0.511811023622047"/>
  <pageSetup paperSize="9" fitToHeight="0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5AD"/>
    <pageSetUpPr fitToPage="1"/>
  </sheetPr>
  <dimension ref="A1:G30"/>
  <sheetViews>
    <sheetView showGridLines="0" workbookViewId="0">
      <selection activeCell="C32" sqref="C32"/>
    </sheetView>
  </sheetViews>
  <sheetFormatPr defaultColWidth="8.67619047619048" defaultRowHeight="15" outlineLevelCol="6"/>
  <cols>
    <col min="1" max="1" width="30" customWidth="1"/>
    <col min="2" max="2" width="26" customWidth="1"/>
    <col min="3" max="3" width="30" customWidth="1"/>
    <col min="4" max="4" width="14" customWidth="1"/>
    <col min="5" max="5" width="22" customWidth="1"/>
    <col min="6" max="6" width="12" customWidth="1"/>
    <col min="7" max="7" width="44" customWidth="1"/>
  </cols>
  <sheetData>
    <row r="1" ht="27.75" customHeight="1" spans="1:7">
      <c r="A1" s="1" t="s">
        <v>590</v>
      </c>
    </row>
    <row r="2" ht="31.5" customHeight="1" spans="1:7">
      <c r="A2" s="15" t="s">
        <v>591</v>
      </c>
      <c r="B2" s="15"/>
      <c r="C2" s="15"/>
      <c r="D2" s="15"/>
      <c r="E2" s="15"/>
      <c r="F2" s="15"/>
      <c r="G2" s="15"/>
    </row>
    <row r="4" spans="1:7">
      <c r="A4" s="16" t="s">
        <v>592</v>
      </c>
    </row>
    <row r="5" ht="31.5" customHeight="1" spans="1:7">
      <c r="A5" s="2" t="s">
        <v>593</v>
      </c>
      <c r="B5" s="2" t="s">
        <v>97</v>
      </c>
      <c r="C5" s="2" t="s">
        <v>95</v>
      </c>
      <c r="D5" s="2"/>
      <c r="E5" s="2"/>
      <c r="F5" s="2"/>
      <c r="G5" s="2"/>
    </row>
    <row r="6" customHeight="1" spans="1:7">
      <c r="A6" s="3" t="s">
        <v>594</v>
      </c>
      <c r="B6" s="17">
        <f>COUNTIFS(指标清单!$E$2:$E$54,"选入",指标清单!$J$2:$J$54,"&lt;&gt;—")</f>
        <v>7</v>
      </c>
      <c r="C6" s="4" t="s">
        <v>595</v>
      </c>
      <c r="D6" s="4"/>
      <c r="E6" s="4"/>
      <c r="F6" s="4"/>
      <c r="G6" s="4"/>
    </row>
    <row r="7" spans="1:7">
      <c r="A7" s="3" t="s">
        <v>596</v>
      </c>
      <c r="B7" s="17">
        <f>COUNTIFS(指标清单!$E$2:$E$54,"选入",指标清单!$K$2:$K$54,"&lt;&gt;—")</f>
        <v>7</v>
      </c>
      <c r="C7" s="4"/>
      <c r="D7" s="4"/>
      <c r="E7" s="4"/>
      <c r="F7" s="4"/>
      <c r="G7" s="4"/>
    </row>
    <row r="8" customHeight="1" spans="1:7">
      <c r="A8" s="3" t="s">
        <v>597</v>
      </c>
      <c r="B8" s="17">
        <f>COUNTIFS(指标清单!$E$2:$E$54,"选入",指标清单!$J$2:$J$54,"&lt;&gt;—",指标清单!$K$2:$K$54,"&lt;&gt;—")</f>
        <v>3</v>
      </c>
      <c r="C8" s="4" t="s">
        <v>598</v>
      </c>
      <c r="D8" s="4"/>
      <c r="E8" s="4"/>
      <c r="F8" s="4"/>
      <c r="G8" s="4"/>
    </row>
    <row r="9" customHeight="1" spans="1:7">
      <c r="A9" s="3" t="s">
        <v>599</v>
      </c>
      <c r="B9" s="17">
        <f>COUNTIFS(指标清单!$E$2:$E$54,"选入",指标清单!$J$2:$J$54,"—",指标清单!$K$2:$K$54,"—")</f>
        <v>4</v>
      </c>
      <c r="C9" s="5" t="s">
        <v>600</v>
      </c>
      <c r="D9" s="5"/>
      <c r="E9" s="5"/>
      <c r="F9" s="5"/>
      <c r="G9" s="5"/>
    </row>
    <row r="10" customHeight="1" spans="1:7">
      <c r="A10" s="3" t="s">
        <v>139</v>
      </c>
      <c r="B10" s="17" t="str">
        <f>IF(B6+B7-B8+B9=COUNTIF(指标清单!$E$2:$E$54,"选入"),"一致","不一致")</f>
        <v>一致</v>
      </c>
      <c r="C10" s="4" t="s">
        <v>601</v>
      </c>
      <c r="D10" s="4"/>
      <c r="E10" s="4"/>
      <c r="F10" s="4"/>
      <c r="G10" s="4"/>
    </row>
    <row r="12" spans="1:7">
      <c r="A12" s="16" t="s">
        <v>602</v>
      </c>
    </row>
    <row r="13" ht="31.5" customHeight="1" spans="1:7">
      <c r="A13" s="2" t="s">
        <v>603</v>
      </c>
      <c r="B13" s="2" t="s">
        <v>65</v>
      </c>
      <c r="C13" s="2" t="s">
        <v>604</v>
      </c>
      <c r="D13" s="2" t="s">
        <v>141</v>
      </c>
      <c r="E13" s="2" t="s">
        <v>4</v>
      </c>
      <c r="F13" s="18" t="s">
        <v>605</v>
      </c>
      <c r="G13" s="2" t="s">
        <v>95</v>
      </c>
    </row>
    <row r="14" ht="22.5" customHeight="1" spans="1:7">
      <c r="A14" s="19" t="s">
        <v>183</v>
      </c>
      <c r="B14" s="4" t="s">
        <v>482</v>
      </c>
      <c r="C14" s="19" t="s">
        <v>185</v>
      </c>
      <c r="D14" s="4" t="s">
        <v>606</v>
      </c>
      <c r="E14" s="4" t="s">
        <v>10</v>
      </c>
      <c r="F14" s="5" t="s">
        <v>607</v>
      </c>
      <c r="G14" s="4" t="s">
        <v>608</v>
      </c>
    </row>
    <row r="15" ht="22.5" customHeight="1" spans="1:7">
      <c r="A15" s="19" t="s">
        <v>202</v>
      </c>
      <c r="B15" s="4" t="s">
        <v>486</v>
      </c>
      <c r="C15" s="19" t="s">
        <v>204</v>
      </c>
      <c r="D15" s="4" t="s">
        <v>606</v>
      </c>
      <c r="E15" s="4" t="s">
        <v>10</v>
      </c>
      <c r="F15" s="5" t="s">
        <v>609</v>
      </c>
      <c r="G15" s="4" t="s">
        <v>610</v>
      </c>
    </row>
    <row r="16" ht="22.5" customHeight="1" spans="1:7">
      <c r="A16" s="19" t="s">
        <v>371</v>
      </c>
      <c r="B16" s="5" t="s">
        <v>611</v>
      </c>
      <c r="C16" s="19" t="s">
        <v>373</v>
      </c>
      <c r="D16" s="5" t="s">
        <v>612</v>
      </c>
      <c r="E16" s="4" t="s">
        <v>492</v>
      </c>
      <c r="F16" s="5" t="s">
        <v>613</v>
      </c>
      <c r="G16" s="4" t="s">
        <v>614</v>
      </c>
    </row>
    <row r="17" ht="22.5" customHeight="1" spans="1:7">
      <c r="A17" s="19" t="s">
        <v>288</v>
      </c>
      <c r="B17" s="4" t="s">
        <v>495</v>
      </c>
      <c r="C17" s="19" t="s">
        <v>290</v>
      </c>
      <c r="D17" s="4" t="s">
        <v>280</v>
      </c>
      <c r="E17" s="4" t="s">
        <v>35</v>
      </c>
      <c r="F17" s="5" t="s">
        <v>615</v>
      </c>
      <c r="G17" s="4" t="s">
        <v>616</v>
      </c>
    </row>
    <row r="18" ht="22.5" customHeight="1" spans="1:7">
      <c r="A18" s="19" t="s">
        <v>352</v>
      </c>
      <c r="B18" s="4" t="s">
        <v>617</v>
      </c>
      <c r="C18" s="19" t="s">
        <v>355</v>
      </c>
      <c r="D18" s="4" t="s">
        <v>618</v>
      </c>
      <c r="E18" s="4" t="s">
        <v>501</v>
      </c>
      <c r="F18" s="4" t="s">
        <v>502</v>
      </c>
      <c r="G18" s="4" t="s">
        <v>619</v>
      </c>
    </row>
    <row r="19" ht="22.5" customHeight="1" spans="1:7">
      <c r="A19" s="19" t="s">
        <v>363</v>
      </c>
      <c r="B19" s="4" t="s">
        <v>620</v>
      </c>
      <c r="C19" s="19" t="s">
        <v>366</v>
      </c>
      <c r="D19" s="4" t="s">
        <v>280</v>
      </c>
      <c r="E19" s="4" t="s">
        <v>35</v>
      </c>
      <c r="F19" s="4" t="s">
        <v>502</v>
      </c>
      <c r="G19" s="4" t="s">
        <v>619</v>
      </c>
    </row>
    <row r="20" ht="36.75" customHeight="1" spans="1:7">
      <c r="A20" s="19" t="s">
        <v>621</v>
      </c>
      <c r="B20" s="4" t="s">
        <v>622</v>
      </c>
      <c r="C20" s="20" t="s">
        <v>623</v>
      </c>
      <c r="D20" s="4" t="s">
        <v>624</v>
      </c>
      <c r="E20" s="4" t="s">
        <v>44</v>
      </c>
      <c r="F20" s="5" t="s">
        <v>625</v>
      </c>
      <c r="G20" s="4" t="s">
        <v>626</v>
      </c>
    </row>
    <row r="22" spans="1:7">
      <c r="A22" s="16" t="s">
        <v>627</v>
      </c>
    </row>
    <row r="23" ht="31.5" customHeight="1" spans="1:7">
      <c r="A23" s="2" t="s">
        <v>628</v>
      </c>
      <c r="B23" s="2" t="s">
        <v>629</v>
      </c>
      <c r="C23" s="2" t="s">
        <v>630</v>
      </c>
      <c r="D23" s="2" t="s">
        <v>631</v>
      </c>
      <c r="E23" s="2" t="s">
        <v>632</v>
      </c>
      <c r="F23" s="2" t="s">
        <v>633</v>
      </c>
      <c r="G23" s="2" t="s">
        <v>95</v>
      </c>
    </row>
    <row r="24" ht="36.75" customHeight="1" spans="1:7">
      <c r="A24" s="19" t="s">
        <v>634</v>
      </c>
      <c r="B24" s="4" t="s">
        <v>635</v>
      </c>
      <c r="C24" s="19" t="s">
        <v>281</v>
      </c>
      <c r="D24" s="5" t="s">
        <v>636</v>
      </c>
      <c r="E24" s="5" t="s">
        <v>637</v>
      </c>
      <c r="F24" s="21" t="s">
        <v>638</v>
      </c>
      <c r="G24" s="5" t="s">
        <v>639</v>
      </c>
    </row>
    <row r="25" ht="22.5" customHeight="1" spans="1:7">
      <c r="A25" s="19" t="s">
        <v>640</v>
      </c>
      <c r="B25" s="4" t="s">
        <v>641</v>
      </c>
      <c r="C25" s="19" t="s">
        <v>173</v>
      </c>
      <c r="D25" s="5" t="s">
        <v>642</v>
      </c>
      <c r="E25" s="5" t="s">
        <v>643</v>
      </c>
      <c r="F25" s="10" t="s">
        <v>644</v>
      </c>
      <c r="G25" s="4"/>
    </row>
    <row r="26" ht="22.5" customHeight="1" spans="1:7">
      <c r="A26" s="19" t="s">
        <v>645</v>
      </c>
      <c r="B26" s="4" t="s">
        <v>646</v>
      </c>
      <c r="C26" s="19" t="s">
        <v>195</v>
      </c>
      <c r="D26" s="5" t="s">
        <v>647</v>
      </c>
      <c r="E26" s="5" t="s">
        <v>648</v>
      </c>
      <c r="F26" s="10" t="s">
        <v>644</v>
      </c>
      <c r="G26" s="4"/>
    </row>
    <row r="27" ht="22.5" customHeight="1" spans="1:7">
      <c r="A27" s="19" t="s">
        <v>649</v>
      </c>
      <c r="B27" s="4" t="s">
        <v>650</v>
      </c>
      <c r="C27" s="19" t="s">
        <v>355</v>
      </c>
      <c r="D27" s="5" t="s">
        <v>651</v>
      </c>
      <c r="E27" s="5" t="s">
        <v>652</v>
      </c>
      <c r="F27" s="10" t="s">
        <v>644</v>
      </c>
      <c r="G27" s="4"/>
    </row>
    <row r="28" ht="22.5" customHeight="1" spans="1:7">
      <c r="A28" s="19" t="s">
        <v>653</v>
      </c>
      <c r="B28" s="4" t="s">
        <v>654</v>
      </c>
      <c r="C28" s="19" t="s">
        <v>366</v>
      </c>
      <c r="D28" s="5" t="s">
        <v>655</v>
      </c>
      <c r="E28" s="5" t="s">
        <v>656</v>
      </c>
      <c r="F28" s="10" t="s">
        <v>644</v>
      </c>
      <c r="G28" s="4"/>
    </row>
    <row r="29" ht="22.5" customHeight="1" spans="1:7">
      <c r="A29" s="19" t="s">
        <v>657</v>
      </c>
      <c r="B29" s="5" t="s">
        <v>658</v>
      </c>
      <c r="C29" s="19" t="s">
        <v>373</v>
      </c>
      <c r="D29" s="5" t="s">
        <v>651</v>
      </c>
      <c r="E29" s="5" t="s">
        <v>659</v>
      </c>
      <c r="F29" s="10" t="s">
        <v>644</v>
      </c>
      <c r="G29" s="4"/>
    </row>
    <row r="30" ht="36.75" customHeight="1" spans="1:7">
      <c r="A30" s="19" t="s">
        <v>660</v>
      </c>
      <c r="B30" s="4" t="s">
        <v>661</v>
      </c>
      <c r="C30" s="19" t="s">
        <v>346</v>
      </c>
      <c r="D30" s="4" t="s">
        <v>662</v>
      </c>
      <c r="E30" s="5" t="s">
        <v>169</v>
      </c>
      <c r="F30" s="13" t="s">
        <v>303</v>
      </c>
      <c r="G30" s="4" t="s">
        <v>663</v>
      </c>
    </row>
  </sheetData>
  <mergeCells count="7">
    <mergeCell ref="A2:G2"/>
    <mergeCell ref="C5:G5"/>
    <mergeCell ref="C6:G6"/>
    <mergeCell ref="C7:G7"/>
    <mergeCell ref="C8:G8"/>
    <mergeCell ref="C9:G9"/>
    <mergeCell ref="C10:G10"/>
  </mergeCells>
  <pageMargins left="0.4" right="0.4" top="1" bottom="1" header="0.511811023622047" footer="0.511811023622047"/>
  <pageSetup paperSize="9" fitToHeight="0" orientation="landscape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5AD"/>
    <pageSetUpPr fitToPage="1"/>
  </sheetPr>
  <dimension ref="A1:G57"/>
  <sheetViews>
    <sheetView workbookViewId="0">
      <pane xSplit="3" ySplit="1" topLeftCell="D37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 outlineLevelCol="6"/>
  <cols>
    <col min="1" max="1" width="10" customWidth="1"/>
    <col min="2" max="2" width="30" customWidth="1"/>
    <col min="3" max="3" width="34" customWidth="1"/>
    <col min="4" max="4" width="8" customWidth="1"/>
    <col min="5" max="5" width="30" customWidth="1"/>
    <col min="6" max="7" width="28" customWidth="1"/>
  </cols>
  <sheetData>
    <row r="1" ht="33.75" customHeight="1" spans="1:7">
      <c r="A1" s="2" t="s">
        <v>4</v>
      </c>
      <c r="B1" s="2" t="s">
        <v>151</v>
      </c>
      <c r="C1" s="2" t="s">
        <v>159</v>
      </c>
      <c r="D1" s="2" t="s">
        <v>152</v>
      </c>
      <c r="E1" s="2" t="s">
        <v>664</v>
      </c>
      <c r="F1" s="2" t="s">
        <v>665</v>
      </c>
      <c r="G1" s="2" t="s">
        <v>666</v>
      </c>
    </row>
    <row r="2" ht="16.5" spans="1:7">
      <c r="A2" s="7" t="s">
        <v>10</v>
      </c>
      <c r="B2" s="8" t="s">
        <v>11</v>
      </c>
      <c r="C2" s="9" t="s">
        <v>173</v>
      </c>
      <c r="D2" s="10" t="s">
        <v>137</v>
      </c>
      <c r="E2" s="11" t="s">
        <v>178</v>
      </c>
      <c r="F2" s="11" t="s">
        <v>179</v>
      </c>
      <c r="G2" s="11" t="s">
        <v>180</v>
      </c>
    </row>
    <row r="3" ht="16.5" spans="1:7">
      <c r="A3" s="7" t="s">
        <v>10</v>
      </c>
      <c r="B3" s="8" t="s">
        <v>16</v>
      </c>
      <c r="C3" s="9" t="s">
        <v>185</v>
      </c>
      <c r="D3" s="10" t="s">
        <v>137</v>
      </c>
      <c r="E3" s="11" t="s">
        <v>189</v>
      </c>
      <c r="F3" s="11" t="s">
        <v>190</v>
      </c>
      <c r="G3" s="11" t="s">
        <v>191</v>
      </c>
    </row>
    <row r="4" ht="16.5" spans="1:7">
      <c r="A4" s="7" t="s">
        <v>10</v>
      </c>
      <c r="B4" s="8" t="s">
        <v>19</v>
      </c>
      <c r="C4" s="9" t="s">
        <v>195</v>
      </c>
      <c r="D4" s="10" t="s">
        <v>137</v>
      </c>
      <c r="E4" s="11" t="s">
        <v>198</v>
      </c>
      <c r="F4" s="11" t="s">
        <v>199</v>
      </c>
      <c r="G4" s="11" t="s">
        <v>200</v>
      </c>
    </row>
    <row r="5" ht="16.5" spans="1:7">
      <c r="A5" s="7" t="s">
        <v>10</v>
      </c>
      <c r="B5" s="8" t="s">
        <v>22</v>
      </c>
      <c r="C5" s="9" t="s">
        <v>204</v>
      </c>
      <c r="D5" s="10" t="s">
        <v>137</v>
      </c>
      <c r="E5" s="11" t="s">
        <v>207</v>
      </c>
      <c r="F5" s="11" t="s">
        <v>190</v>
      </c>
      <c r="G5" s="11" t="s">
        <v>191</v>
      </c>
    </row>
    <row r="6" ht="16.5" spans="1:7">
      <c r="A6" s="7" t="s">
        <v>10</v>
      </c>
      <c r="B6" s="8" t="s">
        <v>24</v>
      </c>
      <c r="C6" s="9" t="s">
        <v>209</v>
      </c>
      <c r="D6" s="10" t="s">
        <v>137</v>
      </c>
      <c r="E6" s="11" t="s">
        <v>212</v>
      </c>
      <c r="F6" s="11" t="s">
        <v>213</v>
      </c>
      <c r="G6" s="11" t="s">
        <v>214</v>
      </c>
    </row>
    <row r="7" ht="16.5" spans="1:7">
      <c r="A7" s="7" t="s">
        <v>10</v>
      </c>
      <c r="B7" s="12" t="s">
        <v>28</v>
      </c>
      <c r="C7" s="9" t="s">
        <v>216</v>
      </c>
      <c r="D7" s="10" t="s">
        <v>137</v>
      </c>
      <c r="E7" s="11" t="s">
        <v>219</v>
      </c>
      <c r="F7" s="11" t="s">
        <v>190</v>
      </c>
      <c r="G7" s="11" t="s">
        <v>191</v>
      </c>
    </row>
    <row r="8" ht="16.5" spans="1:7">
      <c r="A8" s="7" t="s">
        <v>10</v>
      </c>
      <c r="B8" s="8" t="s">
        <v>31</v>
      </c>
      <c r="C8" s="9" t="s">
        <v>223</v>
      </c>
      <c r="D8" s="10" t="s">
        <v>137</v>
      </c>
      <c r="E8" s="11" t="s">
        <v>228</v>
      </c>
      <c r="F8" s="11" t="s">
        <v>229</v>
      </c>
      <c r="G8" s="11" t="s">
        <v>169</v>
      </c>
    </row>
    <row r="9" ht="16.5" spans="1:7">
      <c r="A9" s="7" t="s">
        <v>10</v>
      </c>
      <c r="B9" s="12" t="s">
        <v>231</v>
      </c>
      <c r="C9" s="9" t="s">
        <v>235</v>
      </c>
      <c r="D9" s="13" t="s">
        <v>138</v>
      </c>
      <c r="E9" s="11" t="s">
        <v>238</v>
      </c>
      <c r="F9" s="11" t="s">
        <v>229</v>
      </c>
      <c r="G9" s="11" t="s">
        <v>239</v>
      </c>
    </row>
    <row r="10" ht="16.5" spans="1:7">
      <c r="A10" s="7" t="s">
        <v>10</v>
      </c>
      <c r="B10" s="8" t="s">
        <v>240</v>
      </c>
      <c r="C10" s="9" t="s">
        <v>243</v>
      </c>
      <c r="D10" s="13" t="s">
        <v>138</v>
      </c>
      <c r="E10" s="11" t="s">
        <v>245</v>
      </c>
      <c r="F10" s="11" t="s">
        <v>229</v>
      </c>
      <c r="G10" s="11" t="s">
        <v>169</v>
      </c>
    </row>
    <row r="11" ht="16.5" spans="1:7">
      <c r="A11" s="7" t="s">
        <v>10</v>
      </c>
      <c r="B11" s="8" t="s">
        <v>246</v>
      </c>
      <c r="C11" s="9" t="s">
        <v>248</v>
      </c>
      <c r="D11" s="13" t="s">
        <v>138</v>
      </c>
      <c r="E11" s="11" t="s">
        <v>245</v>
      </c>
      <c r="F11" s="11" t="s">
        <v>229</v>
      </c>
      <c r="G11" s="11" t="s">
        <v>169</v>
      </c>
    </row>
    <row r="12" ht="16.5" spans="1:7">
      <c r="A12" s="7" t="s">
        <v>10</v>
      </c>
      <c r="B12" s="8" t="s">
        <v>249</v>
      </c>
      <c r="C12" s="9" t="s">
        <v>251</v>
      </c>
      <c r="D12" s="13" t="s">
        <v>138</v>
      </c>
      <c r="E12" s="11" t="s">
        <v>252</v>
      </c>
      <c r="F12" s="11" t="s">
        <v>229</v>
      </c>
      <c r="G12" s="11" t="s">
        <v>169</v>
      </c>
    </row>
    <row r="13" ht="16.5" spans="1:7">
      <c r="A13" s="7" t="s">
        <v>10</v>
      </c>
      <c r="B13" s="8" t="s">
        <v>253</v>
      </c>
      <c r="C13" s="9" t="s">
        <v>255</v>
      </c>
      <c r="D13" s="13" t="s">
        <v>138</v>
      </c>
      <c r="E13" s="11" t="s">
        <v>252</v>
      </c>
      <c r="F13" s="11" t="s">
        <v>229</v>
      </c>
      <c r="G13" s="11" t="s">
        <v>169</v>
      </c>
    </row>
    <row r="14" ht="16.5" spans="1:7">
      <c r="A14" s="7" t="s">
        <v>10</v>
      </c>
      <c r="B14" s="8" t="s">
        <v>256</v>
      </c>
      <c r="C14" s="9" t="s">
        <v>258</v>
      </c>
      <c r="D14" s="13" t="s">
        <v>138</v>
      </c>
      <c r="E14" s="11" t="s">
        <v>245</v>
      </c>
      <c r="F14" s="11" t="s">
        <v>229</v>
      </c>
      <c r="G14" s="11" t="s">
        <v>169</v>
      </c>
    </row>
    <row r="15" ht="16.5" spans="1:7">
      <c r="A15" s="7" t="s">
        <v>10</v>
      </c>
      <c r="B15" s="8" t="s">
        <v>260</v>
      </c>
      <c r="C15" s="9" t="s">
        <v>262</v>
      </c>
      <c r="D15" s="13" t="s">
        <v>138</v>
      </c>
      <c r="E15" s="11" t="s">
        <v>265</v>
      </c>
      <c r="F15" s="11" t="s">
        <v>266</v>
      </c>
      <c r="G15" s="11" t="s">
        <v>169</v>
      </c>
    </row>
    <row r="16" ht="16.5" spans="1:7">
      <c r="A16" s="7" t="s">
        <v>10</v>
      </c>
      <c r="B16" s="8" t="s">
        <v>267</v>
      </c>
      <c r="C16" s="9" t="s">
        <v>268</v>
      </c>
      <c r="D16" s="13" t="s">
        <v>138</v>
      </c>
      <c r="E16" s="11" t="s">
        <v>265</v>
      </c>
      <c r="F16" s="11" t="s">
        <v>266</v>
      </c>
      <c r="G16" s="11" t="s">
        <v>169</v>
      </c>
    </row>
    <row r="17" ht="16.5" spans="1:7">
      <c r="A17" s="7" t="s">
        <v>10</v>
      </c>
      <c r="B17" s="8" t="s">
        <v>269</v>
      </c>
      <c r="C17" s="9" t="s">
        <v>270</v>
      </c>
      <c r="D17" s="13" t="s">
        <v>138</v>
      </c>
      <c r="E17" s="11" t="s">
        <v>265</v>
      </c>
      <c r="F17" s="11" t="s">
        <v>266</v>
      </c>
      <c r="G17" s="11" t="s">
        <v>169</v>
      </c>
    </row>
    <row r="18" ht="16.5" spans="1:7">
      <c r="A18" s="7" t="s">
        <v>10</v>
      </c>
      <c r="B18" s="8" t="s">
        <v>271</v>
      </c>
      <c r="C18" s="9" t="s">
        <v>272</v>
      </c>
      <c r="D18" s="13" t="s">
        <v>138</v>
      </c>
      <c r="E18" s="11" t="s">
        <v>265</v>
      </c>
      <c r="F18" s="11" t="s">
        <v>266</v>
      </c>
      <c r="G18" s="11" t="s">
        <v>169</v>
      </c>
    </row>
    <row r="19" ht="16.5" spans="1:7">
      <c r="A19" s="7" t="s">
        <v>10</v>
      </c>
      <c r="B19" s="8" t="s">
        <v>273</v>
      </c>
      <c r="C19" s="9" t="s">
        <v>274</v>
      </c>
      <c r="D19" s="13" t="s">
        <v>138</v>
      </c>
      <c r="E19" s="11" t="s">
        <v>265</v>
      </c>
      <c r="F19" s="11" t="s">
        <v>266</v>
      </c>
      <c r="G19" s="11" t="s">
        <v>169</v>
      </c>
    </row>
    <row r="20" ht="16.5" spans="1:7">
      <c r="A20" s="7" t="s">
        <v>10</v>
      </c>
      <c r="B20" s="8" t="s">
        <v>275</v>
      </c>
      <c r="C20" s="9" t="s">
        <v>276</v>
      </c>
      <c r="D20" s="13" t="s">
        <v>138</v>
      </c>
      <c r="E20" s="11" t="s">
        <v>265</v>
      </c>
      <c r="F20" s="11" t="s">
        <v>266</v>
      </c>
      <c r="G20" s="11" t="s">
        <v>169</v>
      </c>
    </row>
    <row r="21" ht="16.5" spans="1:7">
      <c r="A21" s="7" t="s">
        <v>35</v>
      </c>
      <c r="B21" s="8" t="s">
        <v>36</v>
      </c>
      <c r="C21" s="9" t="s">
        <v>281</v>
      </c>
      <c r="D21" s="10" t="s">
        <v>137</v>
      </c>
      <c r="E21" s="11" t="s">
        <v>285</v>
      </c>
      <c r="F21" s="11" t="s">
        <v>286</v>
      </c>
      <c r="G21" s="11" t="s">
        <v>169</v>
      </c>
    </row>
    <row r="22" ht="16.5" spans="1:7">
      <c r="A22" s="7" t="s">
        <v>35</v>
      </c>
      <c r="B22" s="8" t="s">
        <v>39</v>
      </c>
      <c r="C22" s="9" t="s">
        <v>290</v>
      </c>
      <c r="D22" s="10" t="s">
        <v>137</v>
      </c>
      <c r="E22" s="11" t="s">
        <v>293</v>
      </c>
      <c r="F22" s="11" t="s">
        <v>294</v>
      </c>
      <c r="G22" s="11" t="s">
        <v>169</v>
      </c>
    </row>
    <row r="23" ht="16.5" spans="1:7">
      <c r="A23" s="7" t="s">
        <v>35</v>
      </c>
      <c r="B23" s="8" t="s">
        <v>42</v>
      </c>
      <c r="C23" s="9" t="s">
        <v>298</v>
      </c>
      <c r="D23" s="10" t="s">
        <v>137</v>
      </c>
      <c r="E23" s="11" t="s">
        <v>302</v>
      </c>
      <c r="F23" s="7" t="s">
        <v>303</v>
      </c>
      <c r="G23" s="11" t="s">
        <v>169</v>
      </c>
    </row>
    <row r="24" ht="16.5" spans="1:7">
      <c r="A24" s="7" t="s">
        <v>35</v>
      </c>
      <c r="B24" s="8" t="s">
        <v>304</v>
      </c>
      <c r="C24" s="9" t="s">
        <v>306</v>
      </c>
      <c r="D24" s="13" t="s">
        <v>138</v>
      </c>
      <c r="E24" s="11" t="s">
        <v>309</v>
      </c>
      <c r="F24" s="11" t="s">
        <v>294</v>
      </c>
      <c r="G24" s="11" t="s">
        <v>169</v>
      </c>
    </row>
    <row r="25" ht="16.5" spans="1:7">
      <c r="A25" s="7" t="s">
        <v>35</v>
      </c>
      <c r="B25" s="8" t="s">
        <v>310</v>
      </c>
      <c r="C25" s="9" t="s">
        <v>312</v>
      </c>
      <c r="D25" s="13" t="s">
        <v>138</v>
      </c>
      <c r="E25" s="11" t="s">
        <v>309</v>
      </c>
      <c r="F25" s="11" t="s">
        <v>294</v>
      </c>
      <c r="G25" s="11" t="s">
        <v>169</v>
      </c>
    </row>
    <row r="26" ht="16.5" spans="1:7">
      <c r="A26" s="7" t="s">
        <v>35</v>
      </c>
      <c r="B26" s="8" t="s">
        <v>313</v>
      </c>
      <c r="C26" s="9" t="s">
        <v>315</v>
      </c>
      <c r="D26" s="13" t="s">
        <v>138</v>
      </c>
      <c r="E26" s="11" t="s">
        <v>316</v>
      </c>
      <c r="F26" s="11" t="s">
        <v>294</v>
      </c>
      <c r="G26" s="11" t="s">
        <v>169</v>
      </c>
    </row>
    <row r="27" ht="16.5" spans="1:7">
      <c r="A27" s="7" t="s">
        <v>35</v>
      </c>
      <c r="B27" s="8" t="s">
        <v>317</v>
      </c>
      <c r="C27" s="9" t="s">
        <v>319</v>
      </c>
      <c r="D27" s="13" t="s">
        <v>138</v>
      </c>
      <c r="E27" s="11" t="s">
        <v>316</v>
      </c>
      <c r="F27" s="11" t="s">
        <v>294</v>
      </c>
      <c r="G27" s="11" t="s">
        <v>169</v>
      </c>
    </row>
    <row r="28" ht="16.5" spans="1:7">
      <c r="A28" s="7" t="s">
        <v>35</v>
      </c>
      <c r="B28" s="8" t="s">
        <v>320</v>
      </c>
      <c r="C28" s="9" t="s">
        <v>322</v>
      </c>
      <c r="D28" s="13" t="s">
        <v>138</v>
      </c>
      <c r="E28" s="11" t="s">
        <v>309</v>
      </c>
      <c r="F28" s="11" t="s">
        <v>294</v>
      </c>
      <c r="G28" s="11" t="s">
        <v>169</v>
      </c>
    </row>
    <row r="29" ht="16.5" spans="1:7">
      <c r="A29" s="7" t="s">
        <v>35</v>
      </c>
      <c r="B29" s="8" t="s">
        <v>323</v>
      </c>
      <c r="C29" s="9" t="s">
        <v>325</v>
      </c>
      <c r="D29" s="13" t="s">
        <v>138</v>
      </c>
      <c r="E29" s="11" t="s">
        <v>328</v>
      </c>
      <c r="F29" s="11" t="s">
        <v>329</v>
      </c>
      <c r="G29" s="11" t="s">
        <v>169</v>
      </c>
    </row>
    <row r="30" ht="16.5" spans="1:7">
      <c r="A30" s="7" t="s">
        <v>35</v>
      </c>
      <c r="B30" s="8" t="s">
        <v>330</v>
      </c>
      <c r="C30" s="9" t="s">
        <v>331</v>
      </c>
      <c r="D30" s="13" t="s">
        <v>138</v>
      </c>
      <c r="E30" s="11" t="s">
        <v>328</v>
      </c>
      <c r="F30" s="11" t="s">
        <v>329</v>
      </c>
      <c r="G30" s="11" t="s">
        <v>169</v>
      </c>
    </row>
    <row r="31" ht="16.5" spans="1:7">
      <c r="A31" s="7" t="s">
        <v>35</v>
      </c>
      <c r="B31" s="8" t="s">
        <v>332</v>
      </c>
      <c r="C31" s="9" t="s">
        <v>333</v>
      </c>
      <c r="D31" s="13" t="s">
        <v>138</v>
      </c>
      <c r="E31" s="11" t="s">
        <v>328</v>
      </c>
      <c r="F31" s="11" t="s">
        <v>329</v>
      </c>
      <c r="G31" s="11" t="s">
        <v>169</v>
      </c>
    </row>
    <row r="32" ht="16.5" spans="1:7">
      <c r="A32" s="7" t="s">
        <v>35</v>
      </c>
      <c r="B32" s="8" t="s">
        <v>334</v>
      </c>
      <c r="C32" s="9" t="s">
        <v>335</v>
      </c>
      <c r="D32" s="13" t="s">
        <v>138</v>
      </c>
      <c r="E32" s="11" t="s">
        <v>328</v>
      </c>
      <c r="F32" s="11" t="s">
        <v>329</v>
      </c>
      <c r="G32" s="11" t="s">
        <v>169</v>
      </c>
    </row>
    <row r="33" ht="16.5" spans="1:7">
      <c r="A33" s="7" t="s">
        <v>35</v>
      </c>
      <c r="B33" s="8" t="s">
        <v>336</v>
      </c>
      <c r="C33" s="9" t="s">
        <v>337</v>
      </c>
      <c r="D33" s="13" t="s">
        <v>138</v>
      </c>
      <c r="E33" s="11" t="s">
        <v>328</v>
      </c>
      <c r="F33" s="11" t="s">
        <v>329</v>
      </c>
      <c r="G33" s="11" t="s">
        <v>169</v>
      </c>
    </row>
    <row r="34" ht="16.5" spans="1:7">
      <c r="A34" s="7" t="s">
        <v>35</v>
      </c>
      <c r="B34" s="8" t="s">
        <v>338</v>
      </c>
      <c r="C34" s="9" t="s">
        <v>339</v>
      </c>
      <c r="D34" s="13" t="s">
        <v>138</v>
      </c>
      <c r="E34" s="11" t="s">
        <v>328</v>
      </c>
      <c r="F34" s="11" t="s">
        <v>329</v>
      </c>
      <c r="G34" s="11" t="s">
        <v>169</v>
      </c>
    </row>
    <row r="35" ht="16.5" spans="1:7">
      <c r="A35" s="7" t="s">
        <v>35</v>
      </c>
      <c r="B35" s="8" t="s">
        <v>340</v>
      </c>
      <c r="C35" s="9" t="s">
        <v>341</v>
      </c>
      <c r="D35" s="13" t="s">
        <v>138</v>
      </c>
      <c r="E35" s="11" t="s">
        <v>342</v>
      </c>
      <c r="F35" s="11" t="s">
        <v>294</v>
      </c>
      <c r="G35" s="11" t="s">
        <v>169</v>
      </c>
    </row>
    <row r="36" ht="16.5" spans="1:7">
      <c r="A36" s="7" t="s">
        <v>44</v>
      </c>
      <c r="B36" s="8" t="s">
        <v>45</v>
      </c>
      <c r="C36" s="9" t="s">
        <v>346</v>
      </c>
      <c r="D36" s="10" t="s">
        <v>137</v>
      </c>
      <c r="E36" s="11" t="s">
        <v>349</v>
      </c>
      <c r="F36" s="11" t="s">
        <v>286</v>
      </c>
      <c r="G36" s="11" t="s">
        <v>350</v>
      </c>
    </row>
    <row r="37" ht="16.5" spans="1:7">
      <c r="A37" s="7" t="s">
        <v>44</v>
      </c>
      <c r="B37" s="8" t="s">
        <v>48</v>
      </c>
      <c r="C37" s="9" t="s">
        <v>355</v>
      </c>
      <c r="D37" s="10" t="s">
        <v>137</v>
      </c>
      <c r="E37" s="11" t="s">
        <v>359</v>
      </c>
      <c r="F37" s="11" t="s">
        <v>360</v>
      </c>
      <c r="G37" s="11" t="s">
        <v>361</v>
      </c>
    </row>
    <row r="38" ht="16.5" spans="1:7">
      <c r="A38" s="7" t="s">
        <v>44</v>
      </c>
      <c r="B38" s="8" t="s">
        <v>52</v>
      </c>
      <c r="C38" s="9" t="s">
        <v>366</v>
      </c>
      <c r="D38" s="10" t="s">
        <v>137</v>
      </c>
      <c r="E38" s="11" t="s">
        <v>369</v>
      </c>
      <c r="F38" s="11" t="s">
        <v>294</v>
      </c>
      <c r="G38" s="11" t="s">
        <v>169</v>
      </c>
    </row>
    <row r="39" ht="16.5" spans="1:7">
      <c r="A39" s="7" t="s">
        <v>44</v>
      </c>
      <c r="B39" s="12" t="s">
        <v>54</v>
      </c>
      <c r="C39" s="9" t="s">
        <v>373</v>
      </c>
      <c r="D39" s="10" t="s">
        <v>137</v>
      </c>
      <c r="E39" s="11" t="s">
        <v>377</v>
      </c>
      <c r="F39" s="11" t="s">
        <v>378</v>
      </c>
      <c r="G39" s="11" t="s">
        <v>379</v>
      </c>
    </row>
    <row r="40" ht="16.5" spans="1:7">
      <c r="A40" s="7" t="s">
        <v>44</v>
      </c>
      <c r="B40" s="8" t="s">
        <v>58</v>
      </c>
      <c r="C40" s="9" t="s">
        <v>382</v>
      </c>
      <c r="D40" s="10" t="s">
        <v>137</v>
      </c>
      <c r="E40" s="11" t="s">
        <v>385</v>
      </c>
      <c r="F40" s="11" t="s">
        <v>386</v>
      </c>
      <c r="G40" s="11" t="s">
        <v>387</v>
      </c>
    </row>
    <row r="41" ht="16.5" spans="1:7">
      <c r="A41" s="7" t="s">
        <v>44</v>
      </c>
      <c r="B41" s="8" t="s">
        <v>388</v>
      </c>
      <c r="C41" s="9" t="s">
        <v>391</v>
      </c>
      <c r="D41" s="13" t="s">
        <v>138</v>
      </c>
      <c r="E41" s="11" t="s">
        <v>329</v>
      </c>
      <c r="F41" s="11" t="s">
        <v>329</v>
      </c>
      <c r="G41" s="11" t="s">
        <v>169</v>
      </c>
    </row>
    <row r="42" ht="16.5" spans="1:7">
      <c r="A42" s="7" t="s">
        <v>44</v>
      </c>
      <c r="B42" s="8" t="s">
        <v>394</v>
      </c>
      <c r="C42" s="9" t="s">
        <v>395</v>
      </c>
      <c r="D42" s="13" t="s">
        <v>138</v>
      </c>
      <c r="E42" s="11" t="s">
        <v>329</v>
      </c>
      <c r="F42" s="11" t="s">
        <v>329</v>
      </c>
      <c r="G42" s="11" t="s">
        <v>169</v>
      </c>
    </row>
    <row r="43" ht="16.5" spans="1:7">
      <c r="A43" s="7" t="s">
        <v>44</v>
      </c>
      <c r="B43" s="8" t="s">
        <v>396</v>
      </c>
      <c r="C43" s="9" t="s">
        <v>397</v>
      </c>
      <c r="D43" s="13" t="s">
        <v>138</v>
      </c>
      <c r="E43" s="11" t="s">
        <v>329</v>
      </c>
      <c r="F43" s="11" t="s">
        <v>329</v>
      </c>
      <c r="G43" s="11" t="s">
        <v>169</v>
      </c>
    </row>
    <row r="44" ht="16.5" spans="1:7">
      <c r="A44" s="7" t="s">
        <v>44</v>
      </c>
      <c r="B44" s="8" t="s">
        <v>398</v>
      </c>
      <c r="C44" s="9" t="s">
        <v>399</v>
      </c>
      <c r="D44" s="13" t="s">
        <v>138</v>
      </c>
      <c r="E44" s="11" t="s">
        <v>329</v>
      </c>
      <c r="F44" s="11" t="s">
        <v>329</v>
      </c>
      <c r="G44" s="11" t="s">
        <v>169</v>
      </c>
    </row>
    <row r="45" ht="16.5" spans="1:7">
      <c r="A45" s="7" t="s">
        <v>44</v>
      </c>
      <c r="B45" s="8" t="s">
        <v>400</v>
      </c>
      <c r="C45" s="9" t="s">
        <v>401</v>
      </c>
      <c r="D45" s="13" t="s">
        <v>138</v>
      </c>
      <c r="E45" s="11" t="s">
        <v>329</v>
      </c>
      <c r="F45" s="11" t="s">
        <v>329</v>
      </c>
      <c r="G45" s="11" t="s">
        <v>169</v>
      </c>
    </row>
    <row r="46" ht="16.5" spans="1:7">
      <c r="A46" s="7" t="s">
        <v>44</v>
      </c>
      <c r="B46" s="8" t="s">
        <v>402</v>
      </c>
      <c r="C46" s="9" t="s">
        <v>403</v>
      </c>
      <c r="D46" s="13" t="s">
        <v>138</v>
      </c>
      <c r="E46" s="11" t="s">
        <v>329</v>
      </c>
      <c r="F46" s="11" t="s">
        <v>329</v>
      </c>
      <c r="G46" s="11" t="s">
        <v>169</v>
      </c>
    </row>
    <row r="47" spans="1:7">
      <c r="A47" s="7" t="s">
        <v>44</v>
      </c>
      <c r="B47" s="8" t="s">
        <v>405</v>
      </c>
      <c r="C47" s="9" t="s">
        <v>408</v>
      </c>
      <c r="D47" s="13" t="s">
        <v>138</v>
      </c>
      <c r="E47" s="7" t="s">
        <v>303</v>
      </c>
      <c r="F47" s="7" t="s">
        <v>303</v>
      </c>
      <c r="G47" s="7" t="s">
        <v>303</v>
      </c>
    </row>
    <row r="48" ht="16.5" spans="1:7">
      <c r="A48" s="7" t="s">
        <v>44</v>
      </c>
      <c r="B48" s="8" t="s">
        <v>411</v>
      </c>
      <c r="C48" s="9" t="s">
        <v>414</v>
      </c>
      <c r="D48" s="13" t="s">
        <v>138</v>
      </c>
      <c r="E48" s="11" t="s">
        <v>417</v>
      </c>
      <c r="F48" s="11" t="s">
        <v>418</v>
      </c>
      <c r="G48" s="11" t="s">
        <v>419</v>
      </c>
    </row>
    <row r="49" ht="16.5" spans="1:7">
      <c r="A49" s="7" t="s">
        <v>44</v>
      </c>
      <c r="B49" s="8" t="s">
        <v>420</v>
      </c>
      <c r="C49" s="9" t="s">
        <v>422</v>
      </c>
      <c r="D49" s="13" t="s">
        <v>138</v>
      </c>
      <c r="E49" s="11" t="s">
        <v>294</v>
      </c>
      <c r="F49" s="11" t="s">
        <v>294</v>
      </c>
      <c r="G49" s="11" t="s">
        <v>169</v>
      </c>
    </row>
    <row r="50" ht="16.5" spans="1:7">
      <c r="A50" s="7" t="s">
        <v>44</v>
      </c>
      <c r="B50" s="8" t="s">
        <v>425</v>
      </c>
      <c r="C50" s="9" t="s">
        <v>427</v>
      </c>
      <c r="D50" s="13" t="s">
        <v>138</v>
      </c>
      <c r="E50" s="11" t="s">
        <v>294</v>
      </c>
      <c r="F50" s="11" t="s">
        <v>294</v>
      </c>
      <c r="G50" s="11" t="s">
        <v>169</v>
      </c>
    </row>
    <row r="51" ht="16.5" spans="1:7">
      <c r="A51" s="7" t="s">
        <v>44</v>
      </c>
      <c r="B51" s="8" t="s">
        <v>428</v>
      </c>
      <c r="C51" s="9" t="s">
        <v>430</v>
      </c>
      <c r="D51" s="13" t="s">
        <v>138</v>
      </c>
      <c r="E51" s="11" t="s">
        <v>294</v>
      </c>
      <c r="F51" s="11" t="s">
        <v>294</v>
      </c>
      <c r="G51" s="11" t="s">
        <v>169</v>
      </c>
    </row>
    <row r="52" ht="16.5" spans="1:7">
      <c r="A52" s="7" t="s">
        <v>44</v>
      </c>
      <c r="B52" s="8" t="s">
        <v>431</v>
      </c>
      <c r="C52" s="9" t="s">
        <v>433</v>
      </c>
      <c r="D52" s="13" t="s">
        <v>138</v>
      </c>
      <c r="E52" s="11" t="s">
        <v>294</v>
      </c>
      <c r="F52" s="11" t="s">
        <v>294</v>
      </c>
      <c r="G52" s="11" t="s">
        <v>169</v>
      </c>
    </row>
    <row r="53" ht="16.5" spans="1:7">
      <c r="A53" s="7" t="s">
        <v>44</v>
      </c>
      <c r="B53" s="8" t="s">
        <v>434</v>
      </c>
      <c r="C53" s="9" t="s">
        <v>436</v>
      </c>
      <c r="D53" s="13" t="s">
        <v>138</v>
      </c>
      <c r="E53" s="11" t="s">
        <v>294</v>
      </c>
      <c r="F53" s="11" t="s">
        <v>294</v>
      </c>
      <c r="G53" s="11" t="s">
        <v>169</v>
      </c>
    </row>
    <row r="54" ht="16.5" spans="1:7">
      <c r="A54" s="7" t="s">
        <v>44</v>
      </c>
      <c r="B54" s="8" t="s">
        <v>437</v>
      </c>
      <c r="C54" s="9" t="s">
        <v>439</v>
      </c>
      <c r="D54" s="13" t="s">
        <v>138</v>
      </c>
      <c r="E54" s="11" t="s">
        <v>294</v>
      </c>
      <c r="F54" s="11" t="s">
        <v>294</v>
      </c>
      <c r="G54" s="11" t="s">
        <v>169</v>
      </c>
    </row>
    <row r="56" spans="1:7">
      <c r="A56" s="14" t="s">
        <v>667</v>
      </c>
    </row>
    <row r="57" spans="1:7">
      <c r="A57" s="14" t="s">
        <v>668</v>
      </c>
    </row>
  </sheetData>
  <autoFilter xmlns:etc="http://www.wps.cn/officeDocument/2017/etCustomData" ref="A1:G54" etc:filterBottomFollowUsedRange="0">
    <extLst/>
  </autoFilter>
  <pageMargins left="0.4" right="0.4" top="1" bottom="1" header="0.511811023622047" footer="0.511811023622047"/>
  <pageSetup paperSize="9" fitToHeight="0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5AD"/>
    <pageSetUpPr fitToPage="1"/>
  </sheetPr>
  <dimension ref="A1:C19"/>
  <sheetViews>
    <sheetView showGridLines="0" topLeftCell="A5" workbookViewId="0">
      <selection activeCell="A1" sqref="A1"/>
    </sheetView>
  </sheetViews>
  <sheetFormatPr defaultColWidth="8.67619047619048" defaultRowHeight="15" outlineLevelCol="2"/>
  <cols>
    <col min="1" max="1" width="26" customWidth="1"/>
    <col min="2" max="2" width="78" customWidth="1"/>
    <col min="3" max="3" width="44" customWidth="1"/>
  </cols>
  <sheetData>
    <row r="1" ht="27.75" customHeight="1" spans="1:3">
      <c r="A1" s="1" t="s">
        <v>669</v>
      </c>
    </row>
    <row r="3" ht="31.5" customHeight="1" spans="1:3">
      <c r="A3" s="2" t="s">
        <v>670</v>
      </c>
      <c r="B3" s="2" t="s">
        <v>671</v>
      </c>
      <c r="C3" s="2" t="s">
        <v>672</v>
      </c>
    </row>
    <row r="4" ht="36.75" customHeight="1" spans="1:3">
      <c r="A4" s="3" t="s">
        <v>673</v>
      </c>
      <c r="B4" s="4" t="s">
        <v>674</v>
      </c>
      <c r="C4" s="5" t="s">
        <v>675</v>
      </c>
    </row>
    <row r="5" ht="24" customHeight="1" spans="1:3">
      <c r="A5" s="3" t="s">
        <v>676</v>
      </c>
      <c r="B5" s="4" t="s">
        <v>677</v>
      </c>
      <c r="C5" s="4" t="s">
        <v>678</v>
      </c>
    </row>
    <row r="6" ht="36.75" customHeight="1" spans="1:3">
      <c r="A6" s="3" t="s">
        <v>679</v>
      </c>
      <c r="B6" s="4" t="s">
        <v>680</v>
      </c>
      <c r="C6" s="4"/>
    </row>
    <row r="7" ht="36.75" customHeight="1" spans="1:3">
      <c r="A7" s="6" t="s">
        <v>681</v>
      </c>
      <c r="B7" s="4" t="s">
        <v>682</v>
      </c>
      <c r="C7" s="4" t="s">
        <v>683</v>
      </c>
    </row>
    <row r="8" ht="24" customHeight="1" spans="1:3">
      <c r="A8" s="3" t="s">
        <v>684</v>
      </c>
      <c r="B8" s="4" t="s">
        <v>685</v>
      </c>
      <c r="C8" s="5" t="s">
        <v>686</v>
      </c>
    </row>
    <row r="9" ht="24" customHeight="1" spans="1:3">
      <c r="A9" s="3" t="s">
        <v>687</v>
      </c>
      <c r="B9" s="4" t="s">
        <v>688</v>
      </c>
      <c r="C9" s="4"/>
    </row>
    <row r="10" ht="24" customHeight="1" spans="1:3">
      <c r="A10" s="3" t="s">
        <v>689</v>
      </c>
      <c r="B10" s="4" t="s">
        <v>690</v>
      </c>
      <c r="C10" s="4"/>
    </row>
    <row r="11" ht="36.75" customHeight="1" spans="1:3">
      <c r="A11" s="3" t="s">
        <v>442</v>
      </c>
      <c r="B11" s="4" t="s">
        <v>691</v>
      </c>
      <c r="C11" s="4"/>
    </row>
    <row r="12" ht="36.75" customHeight="1" spans="1:3">
      <c r="A12" s="6" t="s">
        <v>692</v>
      </c>
      <c r="B12" s="4" t="s">
        <v>693</v>
      </c>
      <c r="C12" s="4"/>
    </row>
    <row r="13" ht="36.75" customHeight="1" spans="1:3">
      <c r="A13" s="6" t="s">
        <v>694</v>
      </c>
      <c r="B13" s="4" t="s">
        <v>695</v>
      </c>
      <c r="C13" s="4" t="s">
        <v>696</v>
      </c>
    </row>
    <row r="14" ht="24" customHeight="1" spans="1:3">
      <c r="A14" s="3" t="s">
        <v>697</v>
      </c>
      <c r="B14" s="4" t="s">
        <v>698</v>
      </c>
      <c r="C14" s="4" t="s">
        <v>699</v>
      </c>
    </row>
    <row r="15" ht="24" customHeight="1" spans="1:3">
      <c r="A15" s="3" t="s">
        <v>700</v>
      </c>
      <c r="B15" s="5" t="s">
        <v>701</v>
      </c>
      <c r="C15" s="4"/>
    </row>
    <row r="16" ht="51" customHeight="1" spans="1:3">
      <c r="A16" s="3" t="s">
        <v>702</v>
      </c>
      <c r="B16" s="4" t="s">
        <v>703</v>
      </c>
      <c r="C16" s="4" t="s">
        <v>704</v>
      </c>
    </row>
    <row r="17" ht="24" customHeight="1" spans="1:3">
      <c r="A17" s="6" t="s">
        <v>705</v>
      </c>
      <c r="B17" s="4" t="s">
        <v>706</v>
      </c>
      <c r="C17" s="4" t="s">
        <v>707</v>
      </c>
    </row>
    <row r="18" ht="51" customHeight="1" spans="1:3">
      <c r="A18" s="6" t="s">
        <v>708</v>
      </c>
      <c r="B18" s="5" t="s">
        <v>709</v>
      </c>
      <c r="C18" s="5" t="s">
        <v>710</v>
      </c>
    </row>
    <row r="19" ht="36.75" customHeight="1" spans="1:3">
      <c r="A19" s="3" t="s">
        <v>711</v>
      </c>
      <c r="B19" s="4" t="s">
        <v>712</v>
      </c>
      <c r="C19" s="4" t="s">
        <v>713</v>
      </c>
    </row>
  </sheetData>
  <pageMargins left="0.4" right="0.4" top="1" bottom="1" header="0.511811023622047" footer="0.511811023622047"/>
  <pageSetup paperSize="9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选型原则</vt:lpstr>
      <vt:lpstr>指标清单</vt:lpstr>
      <vt:lpstr>已排除指标</vt:lpstr>
      <vt:lpstr>展示设计</vt:lpstr>
      <vt:lpstr>规则与门禁</vt:lpstr>
      <vt:lpstr>实测数据</vt:lpstr>
      <vt:lpstr>术语说明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</cp:lastModifiedBy>
  <cp:revision>0</cp:revision>
  <dcterms:created xsi:type="dcterms:W3CDTF">2026-09-21T08:58:00Z</dcterms:created>
  <dcterms:modified xsi:type="dcterms:W3CDTF">2026-09-22T02:32:12Z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DD406AF95AFB4742BCF405698C4CF281_12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